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Y:\INCAPACIDADES\"/>
    </mc:Choice>
  </mc:AlternateContent>
  <xr:revisionPtr revIDLastSave="0" documentId="8_{A0943A93-C4E3-4499-A7AB-2C5825744D8F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Hoja1" sheetId="1" r:id="rId1"/>
    <sheet name="RADICACIONES" sheetId="2" r:id="rId2"/>
    <sheet name="CONTROL" sheetId="3" state="veryHidden" r:id="rId3"/>
  </sheets>
  <definedNames>
    <definedName name="_xlnm._FilterDatabase" localSheetId="2" hidden="1">CONTROL!#REF!</definedName>
    <definedName name="_xlnm._FilterDatabase" localSheetId="0" hidden="1">Hoja1!$A$3:$W$193</definedName>
    <definedName name="_xlnm._FilterDatabase" localSheetId="1" hidden="1">RADICACIONES!$A$1:$AA$199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C4" i="3" s="1"/>
  <c r="M4" i="3" l="1"/>
  <c r="D4" i="3"/>
  <c r="E4" i="3" l="1"/>
  <c r="B5" i="3"/>
  <c r="D5" i="3" s="1"/>
  <c r="C5" i="3" l="1"/>
  <c r="E5" i="3" s="1"/>
  <c r="B6" i="3" l="1"/>
  <c r="D6" i="3" s="1"/>
  <c r="C6" i="3" l="1"/>
  <c r="E6" i="3" s="1"/>
  <c r="B7" i="3" l="1"/>
  <c r="D7" i="3" s="1"/>
  <c r="C7" i="3" l="1"/>
  <c r="E7" i="3" s="1"/>
  <c r="B8" i="3" l="1"/>
  <c r="D8" i="3" s="1"/>
  <c r="C8" i="3" l="1"/>
  <c r="E8" i="3" s="1"/>
  <c r="B9" i="3" l="1"/>
  <c r="D9" i="3" s="1"/>
  <c r="C9" i="3" l="1"/>
  <c r="E9" i="3" s="1"/>
  <c r="B10" i="3" l="1"/>
  <c r="D10" i="3" s="1"/>
  <c r="C10" i="3" l="1"/>
  <c r="E10" i="3" s="1"/>
  <c r="B11" i="3" l="1"/>
  <c r="D11" i="3" s="1"/>
  <c r="C11" i="3" l="1"/>
  <c r="E11" i="3" s="1"/>
  <c r="B12" i="3" l="1"/>
  <c r="D12" i="3" s="1"/>
  <c r="C12" i="3" l="1"/>
  <c r="E12" i="3" s="1"/>
  <c r="B13" i="3" l="1"/>
  <c r="D13" i="3" s="1"/>
  <c r="C13" i="3" l="1"/>
  <c r="E13" i="3" s="1"/>
  <c r="B14" i="3" l="1"/>
  <c r="D14" i="3" s="1"/>
  <c r="C14" i="3" l="1"/>
  <c r="E14" i="3" s="1"/>
  <c r="B15" i="3" l="1"/>
  <c r="D15" i="3" s="1"/>
  <c r="C15" i="3" l="1"/>
  <c r="E15" i="3" s="1"/>
  <c r="B16" i="3" l="1"/>
  <c r="D16" i="3" s="1"/>
  <c r="C16" i="3" l="1"/>
  <c r="E16" i="3" s="1"/>
  <c r="B17" i="3" l="1"/>
  <c r="D17" i="3" s="1"/>
  <c r="C17" i="3" l="1"/>
  <c r="E17" i="3" s="1"/>
  <c r="B18" i="3" l="1"/>
  <c r="D18" i="3" s="1"/>
  <c r="C18" i="3" l="1"/>
  <c r="E18" i="3" s="1"/>
  <c r="B19" i="3" l="1"/>
  <c r="D19" i="3" s="1"/>
  <c r="C19" i="3" l="1"/>
  <c r="E19" i="3" s="1"/>
  <c r="B20" i="3" l="1"/>
  <c r="D20" i="3" s="1"/>
  <c r="C20" i="3" l="1"/>
  <c r="E20" i="3" s="1"/>
  <c r="B21" i="3" l="1"/>
  <c r="D21" i="3" s="1"/>
  <c r="C21" i="3" l="1"/>
  <c r="E21" i="3" s="1"/>
  <c r="B22" i="3" l="1"/>
  <c r="D22" i="3" s="1"/>
  <c r="C22" i="3" l="1"/>
  <c r="E22" i="3" s="1"/>
  <c r="B23" i="3" l="1"/>
  <c r="D23" i="3" s="1"/>
  <c r="C23" i="3" l="1"/>
  <c r="E23" i="3" s="1"/>
  <c r="B24" i="3" l="1"/>
  <c r="D24" i="3" s="1"/>
  <c r="C24" i="3" l="1"/>
  <c r="E24" i="3" s="1"/>
  <c r="B25" i="3" l="1"/>
  <c r="D25" i="3" s="1"/>
  <c r="C25" i="3" l="1"/>
  <c r="E25" i="3" s="1"/>
  <c r="B26" i="3" l="1"/>
  <c r="D26" i="3" s="1"/>
  <c r="C26" i="3" l="1"/>
  <c r="E26" i="3" s="1"/>
  <c r="B27" i="3" l="1"/>
  <c r="D27" i="3" s="1"/>
  <c r="C27" i="3" l="1"/>
  <c r="E27" i="3" s="1"/>
  <c r="B28" i="3" l="1"/>
  <c r="D28" i="3" s="1"/>
  <c r="C28" i="3" l="1"/>
  <c r="E28" i="3" s="1"/>
  <c r="B29" i="3" l="1"/>
  <c r="D29" i="3" s="1"/>
  <c r="C29" i="3" l="1"/>
  <c r="E29" i="3" s="1"/>
  <c r="B30" i="3" l="1"/>
  <c r="D30" i="3" s="1"/>
  <c r="C30" i="3" l="1"/>
  <c r="E30" i="3" s="1"/>
  <c r="B31" i="3" l="1"/>
  <c r="D31" i="3" s="1"/>
  <c r="C31" i="3" l="1"/>
  <c r="E31" i="3" s="1"/>
  <c r="B32" i="3" l="1"/>
  <c r="D32" i="3" s="1"/>
  <c r="C32" i="3" l="1"/>
  <c r="E32" i="3" s="1"/>
  <c r="B33" i="3" l="1"/>
  <c r="D33" i="3" s="1"/>
  <c r="C33" i="3" l="1"/>
  <c r="E33" i="3" s="1"/>
  <c r="B34" i="3" l="1"/>
  <c r="D34" i="3" s="1"/>
  <c r="C34" i="3" l="1"/>
  <c r="E34" i="3" s="1"/>
  <c r="B35" i="3" l="1"/>
  <c r="D35" i="3" s="1"/>
  <c r="C35" i="3" l="1"/>
  <c r="E35" i="3" s="1"/>
  <c r="B36" i="3" l="1"/>
  <c r="D36" i="3" s="1"/>
  <c r="C36" i="3" l="1"/>
  <c r="E36" i="3" s="1"/>
  <c r="B37" i="3" l="1"/>
  <c r="D37" i="3" s="1"/>
  <c r="C37" i="3" l="1"/>
  <c r="E37" i="3" s="1"/>
  <c r="B38" i="3" l="1"/>
  <c r="D38" i="3" s="1"/>
  <c r="C38" i="3" l="1"/>
  <c r="E38" i="3" s="1"/>
  <c r="B39" i="3" l="1"/>
  <c r="D39" i="3" s="1"/>
  <c r="C39" i="3" l="1"/>
  <c r="E39" i="3" s="1"/>
  <c r="B40" i="3" l="1"/>
  <c r="D40" i="3" s="1"/>
  <c r="C40" i="3" l="1"/>
  <c r="E40" i="3" s="1"/>
  <c r="B41" i="3" l="1"/>
  <c r="D41" i="3" s="1"/>
  <c r="C41" i="3" l="1"/>
  <c r="E41" i="3" s="1"/>
  <c r="B42" i="3" l="1"/>
  <c r="D42" i="3" s="1"/>
  <c r="C42" i="3" l="1"/>
  <c r="E42" i="3" s="1"/>
  <c r="B43" i="3" l="1"/>
  <c r="D43" i="3" s="1"/>
  <c r="C43" i="3" l="1"/>
  <c r="B44" i="3" l="1"/>
  <c r="E43" i="3"/>
  <c r="C44" i="3" l="1"/>
  <c r="E44" i="3" s="1"/>
  <c r="D44" i="3"/>
  <c r="B45" i="3" l="1"/>
  <c r="D45" i="3" s="1"/>
  <c r="C45" i="3" l="1"/>
  <c r="E45" i="3" s="1"/>
  <c r="B46" i="3" l="1"/>
  <c r="D46" i="3" s="1"/>
  <c r="C46" i="3" l="1"/>
  <c r="E46" i="3" s="1"/>
  <c r="B47" i="3" l="1"/>
  <c r="D47" i="3" s="1"/>
  <c r="C47" i="3" l="1"/>
  <c r="E47" i="3" s="1"/>
  <c r="B48" i="3" l="1"/>
  <c r="D48" i="3" s="1"/>
  <c r="C48" i="3" l="1"/>
  <c r="E48" i="3" s="1"/>
  <c r="B49" i="3" l="1"/>
  <c r="D49" i="3" s="1"/>
  <c r="C49" i="3" l="1"/>
  <c r="E49" i="3" s="1"/>
  <c r="B50" i="3" l="1"/>
  <c r="D50" i="3" s="1"/>
  <c r="C50" i="3" l="1"/>
  <c r="E50" i="3" s="1"/>
  <c r="B51" i="3" l="1"/>
  <c r="D51" i="3" s="1"/>
  <c r="C51" i="3" l="1"/>
  <c r="E51" i="3" s="1"/>
  <c r="B52" i="3" l="1"/>
  <c r="D52" i="3" s="1"/>
  <c r="C52" i="3" l="1"/>
  <c r="E52" i="3" s="1"/>
  <c r="B53" i="3" l="1"/>
  <c r="D53" i="3" s="1"/>
  <c r="C53" i="3" l="1"/>
  <c r="E53" i="3" s="1"/>
  <c r="B54" i="3" l="1"/>
  <c r="D54" i="3" s="1"/>
  <c r="C54" i="3" l="1"/>
  <c r="E54" i="3" s="1"/>
  <c r="B55" i="3" l="1"/>
  <c r="D55" i="3" s="1"/>
  <c r="C55" i="3" l="1"/>
  <c r="E55" i="3" s="1"/>
  <c r="B56" i="3" l="1"/>
  <c r="D56" i="3" s="1"/>
  <c r="C56" i="3" l="1"/>
  <c r="E56" i="3" s="1"/>
  <c r="B57" i="3" l="1"/>
  <c r="D57" i="3" s="1"/>
  <c r="C57" i="3" l="1"/>
  <c r="E57" i="3" s="1"/>
  <c r="B58" i="3" l="1"/>
  <c r="D58" i="3" s="1"/>
  <c r="C58" i="3" l="1"/>
  <c r="E58" i="3" s="1"/>
  <c r="B59" i="3" l="1"/>
  <c r="D59" i="3" s="1"/>
  <c r="C59" i="3" l="1"/>
  <c r="E59" i="3" s="1"/>
  <c r="B60" i="3" l="1"/>
  <c r="D60" i="3" s="1"/>
  <c r="C60" i="3" l="1"/>
  <c r="E60" i="3" s="1"/>
  <c r="B61" i="3" l="1"/>
  <c r="D61" i="3" s="1"/>
  <c r="C61" i="3" l="1"/>
  <c r="E61" i="3" s="1"/>
  <c r="B62" i="3" l="1"/>
  <c r="D62" i="3" s="1"/>
  <c r="C62" i="3" l="1"/>
  <c r="E62" i="3" s="1"/>
  <c r="B63" i="3" l="1"/>
  <c r="D63" i="3" s="1"/>
  <c r="C63" i="3" l="1"/>
  <c r="E63" i="3" s="1"/>
  <c r="B64" i="3" l="1"/>
  <c r="D64" i="3" s="1"/>
  <c r="C64" i="3" l="1"/>
  <c r="E64" i="3" s="1"/>
  <c r="B65" i="3" l="1"/>
  <c r="D65" i="3" s="1"/>
  <c r="C65" i="3" l="1"/>
  <c r="E65" i="3" s="1"/>
  <c r="B66" i="3" l="1"/>
  <c r="D66" i="3" s="1"/>
  <c r="C66" i="3" l="1"/>
  <c r="E66" i="3" s="1"/>
  <c r="B67" i="3" l="1"/>
  <c r="D67" i="3" s="1"/>
  <c r="C67" i="3" l="1"/>
  <c r="E67" i="3" s="1"/>
  <c r="B68" i="3" l="1"/>
  <c r="D68" i="3" s="1"/>
  <c r="C68" i="3" l="1"/>
  <c r="E68" i="3" s="1"/>
  <c r="B69" i="3" l="1"/>
  <c r="D69" i="3" s="1"/>
  <c r="C69" i="3" l="1"/>
  <c r="E69" i="3" s="1"/>
  <c r="B70" i="3" l="1"/>
  <c r="D70" i="3" s="1"/>
  <c r="C70" i="3" l="1"/>
  <c r="E70" i="3" s="1"/>
  <c r="B71" i="3" l="1"/>
  <c r="D71" i="3" s="1"/>
  <c r="C71" i="3" l="1"/>
  <c r="E71" i="3" s="1"/>
  <c r="B72" i="3" l="1"/>
  <c r="D72" i="3" s="1"/>
  <c r="C72" i="3" l="1"/>
  <c r="E72" i="3" s="1"/>
  <c r="B73" i="3" l="1"/>
  <c r="D73" i="3" s="1"/>
  <c r="C73" i="3" l="1"/>
  <c r="E73" i="3" s="1"/>
  <c r="B74" i="3" l="1"/>
  <c r="D74" i="3" s="1"/>
  <c r="C74" i="3" l="1"/>
  <c r="E74" i="3" s="1"/>
  <c r="B75" i="3" l="1"/>
  <c r="D75" i="3" s="1"/>
  <c r="C75" i="3" l="1"/>
  <c r="E75" i="3" s="1"/>
  <c r="B76" i="3" l="1"/>
  <c r="D76" i="3" s="1"/>
  <c r="C76" i="3" l="1"/>
  <c r="E76" i="3" s="1"/>
  <c r="B77" i="3" l="1"/>
  <c r="D77" i="3" s="1"/>
  <c r="C77" i="3" l="1"/>
  <c r="E77" i="3" s="1"/>
  <c r="B78" i="3" l="1"/>
  <c r="D78" i="3" s="1"/>
  <c r="C78" i="3" l="1"/>
  <c r="E78" i="3" s="1"/>
  <c r="B79" i="3" l="1"/>
  <c r="D79" i="3" s="1"/>
  <c r="C79" i="3" l="1"/>
  <c r="E79" i="3" s="1"/>
  <c r="B80" i="3" l="1"/>
  <c r="D80" i="3" s="1"/>
  <c r="C80" i="3" l="1"/>
  <c r="B81" i="3" s="1"/>
  <c r="D81" i="3" s="1"/>
  <c r="E80" i="3" l="1"/>
  <c r="C81" i="3"/>
  <c r="E81" i="3" s="1"/>
  <c r="B82" i="3" l="1"/>
  <c r="D82" i="3" s="1"/>
  <c r="C82" i="3" l="1"/>
  <c r="E82" i="3" s="1"/>
  <c r="B83" i="3" l="1"/>
  <c r="D83" i="3" s="1"/>
  <c r="C83" i="3" l="1"/>
  <c r="E83" i="3" s="1"/>
  <c r="B84" i="3" l="1"/>
  <c r="D84" i="3" s="1"/>
  <c r="C84" i="3" l="1"/>
  <c r="E84" i="3" s="1"/>
  <c r="B85" i="3" l="1"/>
  <c r="D85" i="3" s="1"/>
  <c r="C85" i="3" l="1"/>
  <c r="E85" i="3" s="1"/>
  <c r="B86" i="3" l="1"/>
  <c r="D86" i="3" s="1"/>
  <c r="C86" i="3" l="1"/>
  <c r="E86" i="3" s="1"/>
  <c r="B87" i="3" l="1"/>
  <c r="D87" i="3" s="1"/>
  <c r="C87" i="3" l="1"/>
  <c r="E87" i="3" s="1"/>
  <c r="B88" i="3" l="1"/>
  <c r="D88" i="3" s="1"/>
  <c r="C88" i="3" l="1"/>
  <c r="E88" i="3" s="1"/>
  <c r="B89" i="3" l="1"/>
  <c r="D89" i="3" s="1"/>
  <c r="C89" i="3" l="1"/>
  <c r="E89" i="3" s="1"/>
  <c r="B90" i="3" l="1"/>
  <c r="D90" i="3" s="1"/>
  <c r="C90" i="3" l="1"/>
  <c r="E90" i="3" s="1"/>
  <c r="B91" i="3" l="1"/>
  <c r="D91" i="3" s="1"/>
  <c r="C91" i="3" l="1"/>
  <c r="E91" i="3" s="1"/>
  <c r="B92" i="3" l="1"/>
  <c r="D92" i="3" s="1"/>
  <c r="C92" i="3" l="1"/>
  <c r="E92" i="3" s="1"/>
  <c r="B93" i="3" l="1"/>
  <c r="D93" i="3" s="1"/>
  <c r="C93" i="3" l="1"/>
  <c r="E93" i="3" s="1"/>
  <c r="B94" i="3" l="1"/>
  <c r="D94" i="3" s="1"/>
  <c r="C94" i="3" l="1"/>
  <c r="E94" i="3" s="1"/>
  <c r="B95" i="3" l="1"/>
  <c r="D95" i="3" s="1"/>
  <c r="C95" i="3" l="1"/>
  <c r="E95" i="3" s="1"/>
  <c r="B96" i="3" l="1"/>
  <c r="D96" i="3" s="1"/>
  <c r="C96" i="3" l="1"/>
  <c r="E96" i="3" s="1"/>
  <c r="B97" i="3" l="1"/>
  <c r="D97" i="3" s="1"/>
  <c r="C97" i="3" l="1"/>
  <c r="E97" i="3" s="1"/>
  <c r="B98" i="3" l="1"/>
  <c r="D98" i="3" s="1"/>
  <c r="C98" i="3" l="1"/>
  <c r="E98" i="3" s="1"/>
  <c r="B99" i="3" l="1"/>
  <c r="D99" i="3" s="1"/>
  <c r="C99" i="3" l="1"/>
  <c r="E99" i="3" s="1"/>
  <c r="B100" i="3" l="1"/>
  <c r="D100" i="3" s="1"/>
  <c r="C100" i="3" l="1"/>
  <c r="E100" i="3" s="1"/>
  <c r="B101" i="3" l="1"/>
  <c r="D101" i="3" s="1"/>
  <c r="C101" i="3" l="1"/>
  <c r="E101" i="3" s="1"/>
  <c r="B102" i="3" l="1"/>
  <c r="D102" i="3" s="1"/>
  <c r="C102" i="3" l="1"/>
  <c r="E102" i="3" s="1"/>
  <c r="B103" i="3" l="1"/>
  <c r="D103" i="3" s="1"/>
  <c r="C103" i="3" l="1"/>
  <c r="E103" i="3" s="1"/>
  <c r="B104" i="3" l="1"/>
  <c r="D104" i="3" s="1"/>
  <c r="C104" i="3" l="1"/>
  <c r="E104" i="3" s="1"/>
  <c r="B105" i="3" l="1"/>
  <c r="D105" i="3" s="1"/>
  <c r="C105" i="3" l="1"/>
  <c r="E105" i="3" s="1"/>
  <c r="B106" i="3" l="1"/>
  <c r="D106" i="3" s="1"/>
  <c r="C106" i="3" l="1"/>
  <c r="E106" i="3" s="1"/>
  <c r="B107" i="3" l="1"/>
  <c r="D107" i="3" s="1"/>
  <c r="C107" i="3" l="1"/>
  <c r="E107" i="3" s="1"/>
  <c r="B108" i="3" l="1"/>
  <c r="D108" i="3" s="1"/>
  <c r="C108" i="3" l="1"/>
  <c r="E108" i="3" s="1"/>
  <c r="B109" i="3" l="1"/>
  <c r="D109" i="3" s="1"/>
  <c r="C109" i="3" l="1"/>
  <c r="E109" i="3" s="1"/>
  <c r="B110" i="3" l="1"/>
  <c r="D110" i="3" s="1"/>
  <c r="C110" i="3" l="1"/>
  <c r="E110" i="3" s="1"/>
  <c r="B111" i="3" l="1"/>
  <c r="C111" i="3" l="1"/>
  <c r="E111" i="3" s="1"/>
  <c r="D111" i="3"/>
  <c r="B112" i="3" l="1"/>
  <c r="D112" i="3" s="1"/>
  <c r="C112" i="3" l="1"/>
  <c r="E112" i="3" s="1"/>
  <c r="B113" i="3" l="1"/>
  <c r="D113" i="3" s="1"/>
  <c r="C113" i="3" l="1"/>
  <c r="E113" i="3" s="1"/>
  <c r="B114" i="3" l="1"/>
  <c r="D114" i="3" s="1"/>
  <c r="C114" i="3" l="1"/>
  <c r="E114" i="3" s="1"/>
  <c r="B115" i="3" l="1"/>
  <c r="D115" i="3" s="1"/>
  <c r="C115" i="3" l="1"/>
  <c r="E115" i="3" s="1"/>
  <c r="B116" i="3" l="1"/>
  <c r="D116" i="3" s="1"/>
  <c r="C116" i="3" l="1"/>
  <c r="E116" i="3" s="1"/>
  <c r="B117" i="3" l="1"/>
  <c r="D117" i="3" s="1"/>
  <c r="C117" i="3" l="1"/>
  <c r="E117" i="3" s="1"/>
  <c r="B118" i="3" l="1"/>
  <c r="D118" i="3" s="1"/>
  <c r="C118" i="3" l="1"/>
  <c r="E118" i="3" s="1"/>
  <c r="B119" i="3" l="1"/>
  <c r="D119" i="3" s="1"/>
  <c r="C119" i="3" l="1"/>
  <c r="E119" i="3" s="1"/>
  <c r="B120" i="3" l="1"/>
  <c r="D120" i="3" s="1"/>
  <c r="C120" i="3" l="1"/>
  <c r="E120" i="3" s="1"/>
  <c r="B121" i="3" l="1"/>
  <c r="D121" i="3" s="1"/>
  <c r="C121" i="3" l="1"/>
  <c r="E121" i="3" s="1"/>
  <c r="B122" i="3" l="1"/>
  <c r="C122" i="3" s="1"/>
  <c r="E122" i="3" s="1"/>
  <c r="D122" i="3" l="1"/>
  <c r="B123" i="3"/>
  <c r="D123" i="3" l="1"/>
  <c r="C123" i="3"/>
  <c r="E123" i="3" s="1"/>
  <c r="B124" i="3" l="1"/>
  <c r="D124" i="3" s="1"/>
  <c r="C124" i="3" l="1"/>
  <c r="E124" i="3" s="1"/>
  <c r="B125" i="3" l="1"/>
  <c r="D125" i="3" s="1"/>
  <c r="C125" i="3" l="1"/>
  <c r="E125" i="3" s="1"/>
  <c r="B126" i="3" l="1"/>
  <c r="D126" i="3" s="1"/>
  <c r="C126" i="3" l="1"/>
  <c r="E126" i="3" s="1"/>
  <c r="B127" i="3" l="1"/>
  <c r="C127" i="3" s="1"/>
  <c r="E127" i="3" s="1"/>
  <c r="D127" i="3" l="1"/>
  <c r="B128" i="3"/>
  <c r="C128" i="3" l="1"/>
  <c r="D128" i="3"/>
  <c r="E128" i="3" l="1"/>
  <c r="B129" i="3"/>
  <c r="D129" i="3" l="1"/>
  <c r="C129" i="3"/>
  <c r="B130" i="3" l="1"/>
  <c r="E129" i="3"/>
  <c r="D130" i="3" l="1"/>
  <c r="C130" i="3"/>
  <c r="E130" i="3" l="1"/>
  <c r="B131" i="3"/>
  <c r="C131" i="3" l="1"/>
  <c r="D131" i="3"/>
  <c r="E131" i="3" l="1"/>
  <c r="B132" i="3"/>
  <c r="D132" i="3" l="1"/>
  <c r="C132" i="3"/>
  <c r="E132" i="3" l="1"/>
  <c r="B133" i="3"/>
  <c r="D133" i="3" l="1"/>
  <c r="C133" i="3"/>
  <c r="E133" i="3" l="1"/>
  <c r="B134" i="3"/>
  <c r="D134" i="3" l="1"/>
  <c r="C134" i="3"/>
  <c r="E134" i="3" l="1"/>
  <c r="B135" i="3"/>
  <c r="D135" i="3" l="1"/>
  <c r="C135" i="3"/>
  <c r="E135" i="3" l="1"/>
  <c r="B136" i="3"/>
  <c r="D136" i="3" l="1"/>
  <c r="C136" i="3"/>
  <c r="E136" i="3" l="1"/>
  <c r="B137" i="3"/>
  <c r="D137" i="3" l="1"/>
  <c r="C137" i="3"/>
  <c r="E137" i="3" s="1"/>
</calcChain>
</file>

<file path=xl/sharedStrings.xml><?xml version="1.0" encoding="utf-8"?>
<sst xmlns="http://schemas.openxmlformats.org/spreadsheetml/2006/main" count="1243" uniqueCount="239">
  <si>
    <t>Campos de información archivo de cargue:</t>
  </si>
  <si>
    <t>Tipo Identificación</t>
  </si>
  <si>
    <t>No. Identificación</t>
  </si>
  <si>
    <t>Dia 181</t>
  </si>
  <si>
    <t>Fecha radicación AFP</t>
  </si>
  <si>
    <t>Fecha radicación Alfa</t>
  </si>
  <si>
    <t>Tipo Ingreso</t>
  </si>
  <si>
    <t>Fecha inicial incapacidad</t>
  </si>
  <si>
    <t>Fecha final incapacidad</t>
  </si>
  <si>
    <t>Ajuste</t>
  </si>
  <si>
    <t>CIE10</t>
  </si>
  <si>
    <t>Encabezado Solicitud de auditoría</t>
  </si>
  <si>
    <t>Detalle solicitud de Auditoría - Incapacidades</t>
  </si>
  <si>
    <t>Causal excepción</t>
  </si>
  <si>
    <t>CEDULA</t>
  </si>
  <si>
    <t>FECHA DIA 181</t>
  </si>
  <si>
    <t>FECHA RADICACION AFP</t>
  </si>
  <si>
    <t>FECHA RADICACION ASEGURADORA</t>
  </si>
  <si>
    <t>TIPO INGRESO</t>
  </si>
  <si>
    <t>FECHA_INICIAL</t>
  </si>
  <si>
    <t>FECHA_FINAL</t>
  </si>
  <si>
    <t>SALARIO</t>
  </si>
  <si>
    <t>No. DIAS</t>
  </si>
  <si>
    <t>DIAGNOSTICOS</t>
  </si>
  <si>
    <t>INICIAL</t>
  </si>
  <si>
    <t>RADICADO</t>
  </si>
  <si>
    <t>No. Radicado</t>
  </si>
  <si>
    <t>OBSERVACION JURIDICA (cuando aplique)</t>
  </si>
  <si>
    <t>Observación AFP</t>
  </si>
  <si>
    <t>OBSERVACIÓN PORVENIR</t>
  </si>
  <si>
    <t>Observación causal</t>
  </si>
  <si>
    <t>No</t>
  </si>
  <si>
    <t>DIAS ACUMULADOS</t>
  </si>
  <si>
    <t>IBC</t>
  </si>
  <si>
    <t>DIAS COTIZADOS</t>
  </si>
  <si>
    <t>FECHA DIA 360</t>
  </si>
  <si>
    <t>VALOR</t>
  </si>
  <si>
    <t>ASEGURADORA</t>
  </si>
  <si>
    <t>ESTADO AFILIADO</t>
  </si>
  <si>
    <t>DIA 181 ALFA</t>
  </si>
  <si>
    <t>FECHA CRIE ALFA</t>
  </si>
  <si>
    <t>OBSERVACIÓN ALFA</t>
  </si>
  <si>
    <t>VALOR PAGADO</t>
  </si>
  <si>
    <t>FECHA DE PAGO ASEGURADORA</t>
  </si>
  <si>
    <t>INSTANCIA JUDICIAL (cuando aplique)</t>
  </si>
  <si>
    <t>Seguros de Vida Alfa</t>
  </si>
  <si>
    <t>VIGENTE</t>
  </si>
  <si>
    <t>INICIO</t>
  </si>
  <si>
    <t>MES</t>
  </si>
  <si>
    <t>FINAL</t>
  </si>
  <si>
    <t>dias</t>
  </si>
  <si>
    <t>SALARIO1</t>
  </si>
  <si>
    <t>SALARIO2</t>
  </si>
  <si>
    <t>SALARIO3</t>
  </si>
  <si>
    <t>DIAS1</t>
  </si>
  <si>
    <t>DIAS2</t>
  </si>
  <si>
    <t>DIAS3</t>
  </si>
  <si>
    <t>Salario1</t>
  </si>
  <si>
    <t>Salario2</t>
  </si>
  <si>
    <t>Salario3</t>
  </si>
  <si>
    <t>Días incapacidas1</t>
  </si>
  <si>
    <t>Días incapacidad2</t>
  </si>
  <si>
    <t>Dias Incapacidad3</t>
  </si>
  <si>
    <t>10/11/2024</t>
  </si>
  <si>
    <t>30/12/2024</t>
  </si>
  <si>
    <t>Por favor validar si procede pago para pagar desde la AFP y una vez llegue el dinero de Alfa conciliaremos la partida contable</t>
  </si>
  <si>
    <t>30 - 30</t>
  </si>
  <si>
    <t>PRORROGA</t>
  </si>
  <si>
    <t>S932</t>
  </si>
  <si>
    <t xml:space="preserve">2200110 - 2200110 </t>
  </si>
  <si>
    <t xml:space="preserve">30 - 30 </t>
  </si>
  <si>
    <t>M471</t>
  </si>
  <si>
    <t>G619</t>
  </si>
  <si>
    <t>G551</t>
  </si>
  <si>
    <t>M169</t>
  </si>
  <si>
    <t xml:space="preserve">1750905 - 1750905 - 1750905 </t>
  </si>
  <si>
    <t xml:space="preserve">30 - 30 - 30 </t>
  </si>
  <si>
    <t>C900</t>
  </si>
  <si>
    <t xml:space="preserve">1750905 - 1750905 </t>
  </si>
  <si>
    <t>S832</t>
  </si>
  <si>
    <t>S920</t>
  </si>
  <si>
    <t>M179</t>
  </si>
  <si>
    <t>M216</t>
  </si>
  <si>
    <t>F329</t>
  </si>
  <si>
    <t>S723</t>
  </si>
  <si>
    <t>I260</t>
  </si>
  <si>
    <t>F445</t>
  </si>
  <si>
    <t>M236</t>
  </si>
  <si>
    <t>M160</t>
  </si>
  <si>
    <t>M751</t>
  </si>
  <si>
    <t xml:space="preserve">3750905 - 3750905 </t>
  </si>
  <si>
    <t>F412</t>
  </si>
  <si>
    <t xml:space="preserve">4600000 - 4600000 - 4600000 </t>
  </si>
  <si>
    <t xml:space="preserve">1750906 - 1750906 </t>
  </si>
  <si>
    <t xml:space="preserve">1750906 - 1750906 - 1750905 </t>
  </si>
  <si>
    <t>C509</t>
  </si>
  <si>
    <t xml:space="preserve">1750905 - 1750905 - 1750905 - 1750905 - 1750905 </t>
  </si>
  <si>
    <t xml:space="preserve">30 - 30 - 30 - 30 - 30 </t>
  </si>
  <si>
    <t>R521</t>
  </si>
  <si>
    <t>M869</t>
  </si>
  <si>
    <t>S923</t>
  </si>
  <si>
    <t>M841</t>
  </si>
  <si>
    <t>S821</t>
  </si>
  <si>
    <t>S781</t>
  </si>
  <si>
    <t>I679</t>
  </si>
  <si>
    <t>M511</t>
  </si>
  <si>
    <t>NO_VIGENTE</t>
  </si>
  <si>
    <t>Caso con aval de Iliana hoy 21 de julio</t>
  </si>
  <si>
    <t xml:space="preserve">1809269 - 1809269 </t>
  </si>
  <si>
    <t>TUTELA_P</t>
  </si>
  <si>
    <t>M519</t>
  </si>
  <si>
    <t xml:space="preserve">1750908 - 1750910 </t>
  </si>
  <si>
    <t>D431</t>
  </si>
  <si>
    <t>N189</t>
  </si>
  <si>
    <t>C531</t>
  </si>
  <si>
    <t>C250</t>
  </si>
  <si>
    <t>S834</t>
  </si>
  <si>
    <t xml:space="preserve">1423500 - 1423500 - 1423500 - 1750905 </t>
  </si>
  <si>
    <t xml:space="preserve">30 - 30 - 30 - 30 </t>
  </si>
  <si>
    <t>M239</t>
  </si>
  <si>
    <t xml:space="preserve">1750905 - 1750905 - 1750905 - 1750905 - 1750905 - 1750905 - 1750905 </t>
  </si>
  <si>
    <t xml:space="preserve">30 - 30 - 30 - 30 - 30 - 30 - 30 </t>
  </si>
  <si>
    <t>S400</t>
  </si>
  <si>
    <t>M501</t>
  </si>
  <si>
    <t>M542</t>
  </si>
  <si>
    <t>S324</t>
  </si>
  <si>
    <t>G552</t>
  </si>
  <si>
    <t>S435</t>
  </si>
  <si>
    <t xml:space="preserve">2180697 - 1750905 - 1750906 </t>
  </si>
  <si>
    <t>N185</t>
  </si>
  <si>
    <t>Por favor validar que sean los DX del fallo</t>
  </si>
  <si>
    <t>S997</t>
  </si>
  <si>
    <t>S833</t>
  </si>
  <si>
    <t xml:space="preserve">1750906 - 1750906 - 1750906 </t>
  </si>
  <si>
    <t>D169</t>
  </si>
  <si>
    <t xml:space="preserve">1750907 - 1750907 </t>
  </si>
  <si>
    <t>D480</t>
  </si>
  <si>
    <t>I694</t>
  </si>
  <si>
    <t>F419</t>
  </si>
  <si>
    <t>F432</t>
  </si>
  <si>
    <t>Z108</t>
  </si>
  <si>
    <t>B908</t>
  </si>
  <si>
    <t xml:space="preserve">1824770 - 1824770 </t>
  </si>
  <si>
    <t>S729</t>
  </si>
  <si>
    <t>K220</t>
  </si>
  <si>
    <t>T932</t>
  </si>
  <si>
    <t>M329</t>
  </si>
  <si>
    <t>M224</t>
  </si>
  <si>
    <t>G540</t>
  </si>
  <si>
    <t>Z988</t>
  </si>
  <si>
    <t xml:space="preserve">2000000 - 2000000 </t>
  </si>
  <si>
    <t xml:space="preserve">2739316 - 2739316 </t>
  </si>
  <si>
    <t>S860</t>
  </si>
  <si>
    <t>C410</t>
  </si>
  <si>
    <t>T905</t>
  </si>
  <si>
    <t>S824</t>
  </si>
  <si>
    <t xml:space="preserve">2112852 - 2112852 </t>
  </si>
  <si>
    <t>S099</t>
  </si>
  <si>
    <t xml:space="preserve">1752085 - 1752085 </t>
  </si>
  <si>
    <t xml:space="preserve">3721999 - 3721999 - 11165999 </t>
  </si>
  <si>
    <t>S800</t>
  </si>
  <si>
    <t>M162</t>
  </si>
  <si>
    <t>S728</t>
  </si>
  <si>
    <t xml:space="preserve">1750908 - 1750908 </t>
  </si>
  <si>
    <t xml:space="preserve">1750905 - 1750906 </t>
  </si>
  <si>
    <t>I862</t>
  </si>
  <si>
    <t xml:space="preserve">2505043 - 2505043 </t>
  </si>
  <si>
    <t>S460</t>
  </si>
  <si>
    <t>C189</t>
  </si>
  <si>
    <t xml:space="preserve">1920000 - 1920000 - 1920000 </t>
  </si>
  <si>
    <t xml:space="preserve">3821932 - 3821932 </t>
  </si>
  <si>
    <t xml:space="preserve">7069298 - 3416830 </t>
  </si>
  <si>
    <t>F321</t>
  </si>
  <si>
    <t xml:space="preserve">1825188 - 1825188 </t>
  </si>
  <si>
    <t>F322</t>
  </si>
  <si>
    <t>F331</t>
  </si>
  <si>
    <t>CRIE desfavorable</t>
  </si>
  <si>
    <t>M353</t>
  </si>
  <si>
    <t>M798</t>
  </si>
  <si>
    <t>S835</t>
  </si>
  <si>
    <t xml:space="preserve">1761775 - 1761775 </t>
  </si>
  <si>
    <t>S820</t>
  </si>
  <si>
    <t xml:space="preserve">1750906 - 1809270 </t>
  </si>
  <si>
    <t>S430</t>
  </si>
  <si>
    <t>S525</t>
  </si>
  <si>
    <t>M255</t>
  </si>
  <si>
    <t xml:space="preserve">1809270 - 1809270 - 1809270 </t>
  </si>
  <si>
    <t>S934</t>
  </si>
  <si>
    <t>M238</t>
  </si>
  <si>
    <t xml:space="preserve">1423500 - 1750905 </t>
  </si>
  <si>
    <t xml:space="preserve">1750905 - 3034903 </t>
  </si>
  <si>
    <t xml:space="preserve">3034903 - 3501811 - 3501810 </t>
  </si>
  <si>
    <t xml:space="preserve">3501810 - 3501812 </t>
  </si>
  <si>
    <t xml:space="preserve">1820400 - 1820400 </t>
  </si>
  <si>
    <t>R103</t>
  </si>
  <si>
    <t>M518</t>
  </si>
  <si>
    <t>A151</t>
  </si>
  <si>
    <t>M233</t>
  </si>
  <si>
    <t>M508</t>
  </si>
  <si>
    <t>F314</t>
  </si>
  <si>
    <t xml:space="preserve">1750912 - 1750912 </t>
  </si>
  <si>
    <t>F311</t>
  </si>
  <si>
    <t>M545</t>
  </si>
  <si>
    <t>M531</t>
  </si>
  <si>
    <t>M797</t>
  </si>
  <si>
    <t>C402</t>
  </si>
  <si>
    <t>D695</t>
  </si>
  <si>
    <t>Alfa objeta por fuera de continuidad pero se radica desde la vigencia en Porvenir 1 de febrero 2026</t>
  </si>
  <si>
    <t>D693</t>
  </si>
  <si>
    <t xml:space="preserve">3945960 - 3945960 </t>
  </si>
  <si>
    <t>D696</t>
  </si>
  <si>
    <t>S822</t>
  </si>
  <si>
    <t>R522</t>
  </si>
  <si>
    <t>G708</t>
  </si>
  <si>
    <t>K409</t>
  </si>
  <si>
    <t>G510</t>
  </si>
  <si>
    <t xml:space="preserve">2222500 - 2222500 </t>
  </si>
  <si>
    <t>F444</t>
  </si>
  <si>
    <t>G439</t>
  </si>
  <si>
    <t>M352</t>
  </si>
  <si>
    <t xml:space="preserve">3135273 - 3135273 </t>
  </si>
  <si>
    <t>F068</t>
  </si>
  <si>
    <t>C819</t>
  </si>
  <si>
    <t>M45</t>
  </si>
  <si>
    <t>G20</t>
  </si>
  <si>
    <t>R51</t>
  </si>
  <si>
    <t>I64</t>
  </si>
  <si>
    <t>A09</t>
  </si>
  <si>
    <t>C56</t>
  </si>
  <si>
    <t>I10</t>
  </si>
  <si>
    <t>G560</t>
  </si>
  <si>
    <t>D383</t>
  </si>
  <si>
    <t>M955</t>
  </si>
  <si>
    <t>S060</t>
  </si>
  <si>
    <t>N390</t>
  </si>
  <si>
    <t>S922</t>
  </si>
  <si>
    <t>L600</t>
  </si>
  <si>
    <t>M791</t>
  </si>
  <si>
    <t>R418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</si>
</sst>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\ * #,##0_-;\-&quot;$&quot;\ * #,##0_-;_-&quot;$&quot;\ * &quot;-&quot;_-;_-@_-"/>
    <numFmt numFmtId="164" formatCode="_(&quot;$&quot;\ * #,##0_);_(&quot;$&quot;\ * \(#,##0\);_(&quot;$&quot;\ * &quot;-&quot;_);_(@_)"/>
    <numFmt numFmtId="165" formatCode="_(* #,##0.00_);_(* \(#,##0.00\);_(* &quot;-&quot;??_);_(@_)"/>
    <numFmt numFmtId="166" formatCode="0#############################"/>
    <numFmt numFmtId="167" formatCode="&quot;$&quot;\ #,##0"/>
    <numFmt numFmtId="168" formatCode="_(* #,##0_);_(* \(#,##0\);_(* &quot;-&quot;??_);_(@_)"/>
    <numFmt numFmtId="169" formatCode="#0000000000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b/>
      <sz val="9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Calibri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42" fontId="9" fillId="0" borderId="0" applyFont="0" applyFill="0" applyBorder="0" applyAlignment="0" applyProtection="0"/>
    <xf numFmtId="42" fontId="9" fillId="0" borderId="0" applyFont="0" applyFill="0" applyBorder="0" applyAlignment="0" applyProtection="0"/>
  </cellStyleXfs>
  <cellXfs count="54">
    <xf numFmtId="0" fontId="0" fillId="0" borderId="0" xfId="0"/>
    <xf numFmtId="14" fontId="0" fillId="0" borderId="1" xfId="0" applyNumberFormat="1" applyBorder="1"/>
    <xf numFmtId="14" fontId="0" fillId="0" borderId="0" xfId="0" applyNumberFormat="1"/>
    <xf numFmtId="0" fontId="5" fillId="2" borderId="1" xfId="0" applyFont="1" applyFill="1" applyBorder="1" applyAlignment="1">
      <alignment horizontal="center" vertical="center" wrapText="1"/>
    </xf>
    <xf numFmtId="14" fontId="6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66" fontId="6" fillId="2" borderId="1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" fontId="6" fillId="2" borderId="1" xfId="0" applyNumberFormat="1" applyFont="1" applyFill="1" applyBorder="1" applyAlignment="1">
      <alignment horizontal="center" vertical="center" wrapText="1"/>
    </xf>
    <xf numFmtId="167" fontId="6" fillId="2" borderId="1" xfId="1" applyNumberFormat="1" applyFont="1" applyFill="1" applyBorder="1" applyAlignment="1">
      <alignment horizontal="center" vertical="center" wrapText="1"/>
    </xf>
    <xf numFmtId="14" fontId="7" fillId="3" borderId="1" xfId="0" applyNumberFormat="1" applyFont="1" applyFill="1" applyBorder="1" applyAlignment="1">
      <alignment horizontal="center" vertical="center" wrapText="1"/>
    </xf>
    <xf numFmtId="167" fontId="6" fillId="2" borderId="1" xfId="0" applyNumberFormat="1" applyFont="1" applyFill="1" applyBorder="1" applyAlignment="1">
      <alignment horizontal="center" vertical="center" wrapText="1"/>
    </xf>
    <xf numFmtId="0" fontId="0" fillId="0" borderId="0" xfId="0" quotePrefix="1"/>
    <xf numFmtId="3" fontId="0" fillId="0" borderId="0" xfId="0" applyNumberFormat="1"/>
    <xf numFmtId="168" fontId="0" fillId="0" borderId="0" xfId="2" applyNumberFormat="1" applyFont="1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" fillId="0" borderId="3" xfId="0" applyFont="1" applyBorder="1"/>
    <xf numFmtId="1" fontId="0" fillId="0" borderId="0" xfId="0" applyNumberFormat="1"/>
    <xf numFmtId="1" fontId="1" fillId="0" borderId="3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10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/>
    <xf numFmtId="1" fontId="0" fillId="0" borderId="1" xfId="0" applyNumberFormat="1" applyBorder="1"/>
    <xf numFmtId="1" fontId="0" fillId="0" borderId="1" xfId="0" quotePrefix="1" applyNumberFormat="1" applyBorder="1"/>
    <xf numFmtId="49" fontId="0" fillId="0" borderId="1" xfId="0" quotePrefix="1" applyNumberFormat="1" applyBorder="1"/>
    <xf numFmtId="0" fontId="0" fillId="0" borderId="4" xfId="0" applyBorder="1"/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49" fontId="0" fillId="0" borderId="4" xfId="0" quotePrefix="1" applyNumberFormat="1" applyBorder="1"/>
    <xf numFmtId="1" fontId="0" fillId="0" borderId="4" xfId="0" applyNumberFormat="1" applyBorder="1"/>
    <xf numFmtId="0" fontId="10" fillId="0" borderId="4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6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/>
    </xf>
    <xf numFmtId="49" fontId="11" fillId="5" borderId="1" xfId="0" applyNumberFormat="1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/>
    </xf>
    <xf numFmtId="14" fontId="11" fillId="6" borderId="1" xfId="0" applyNumberFormat="1" applyFont="1" applyFill="1" applyBorder="1" applyAlignment="1">
      <alignment horizontal="center"/>
    </xf>
    <xf numFmtId="1" fontId="12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4" fontId="11" fillId="4" borderId="1" xfId="0" applyNumberFormat="1" applyFont="1" applyFill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</cellXfs>
  <cellStyles count="5">
    <cellStyle name="Millares" xfId="2" builtinId="3"/>
    <cellStyle name="Moneda [0]" xfId="1" builtinId="7"/>
    <cellStyle name="Moneda [0] 4" xfId="3" xr:uid="{06D93630-862D-417A-A98D-7DB423B198C1}"/>
    <cellStyle name="Moneda [0] 5" xfId="4" xr:uid="{FA19D554-31C0-468B-8FC5-5EFAF5BD651E}"/>
    <cellStyle name="Normal" xfId="0" builtinId="0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0</xdr:row>
          <xdr:rowOff>38100</xdr:rowOff>
        </xdr:from>
        <xdr:to>
          <xdr:col>4</xdr:col>
          <xdr:colOff>990600</xdr:colOff>
          <xdr:row>2</xdr:row>
          <xdr:rowOff>12700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375"/>
  <sheetViews>
    <sheetView tabSelected="1" zoomScale="85" zoomScaleNormal="85" workbookViewId="0">
      <pane ySplit="3" topLeftCell="A4" activePane="bottomLeft" state="frozen"/>
      <selection pane="bottomLeft" activeCell="K4" sqref="K4"/>
    </sheetView>
  </sheetViews>
  <sheetFormatPr baseColWidth="10" defaultRowHeight="14.5" x14ac:dyDescent="0.35"/>
  <cols>
    <col min="1" max="1" width="9.453125" customWidth="1"/>
    <col min="2" max="2" width="16.81640625" bestFit="1" customWidth="1"/>
    <col min="3" max="3" width="12" bestFit="1" customWidth="1"/>
    <col min="4" max="4" width="21.7265625" style="22" customWidth="1"/>
    <col min="5" max="5" width="21.81640625" customWidth="1"/>
    <col min="6" max="6" width="18.26953125" customWidth="1"/>
    <col min="7" max="7" width="12.453125" customWidth="1"/>
    <col min="8" max="8" width="15" customWidth="1"/>
    <col min="9" max="9" width="16.54296875" customWidth="1"/>
    <col min="10" max="10" width="13.54296875" customWidth="1"/>
    <col min="11" max="11" width="10.453125" style="22" customWidth="1"/>
    <col min="12" max="12" width="13.26953125" style="22" customWidth="1"/>
    <col min="13" max="13" width="10.453125" style="22" customWidth="1"/>
    <col min="14" max="17" width="18.26953125" customWidth="1"/>
    <col min="18" max="18" width="6.7265625" customWidth="1"/>
    <col min="19" max="19" width="18" customWidth="1"/>
    <col min="20" max="20" width="21.453125" customWidth="1"/>
    <col min="21" max="21" width="11.81640625" bestFit="1" customWidth="1"/>
  </cols>
  <sheetData>
    <row r="1" spans="1:20" x14ac:dyDescent="0.35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</row>
    <row r="2" spans="1:20" x14ac:dyDescent="0.35">
      <c r="A2" s="45" t="s">
        <v>11</v>
      </c>
      <c r="B2" s="45"/>
      <c r="C2" s="45"/>
      <c r="D2" s="23"/>
      <c r="E2" s="45" t="s">
        <v>12</v>
      </c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0" x14ac:dyDescent="0.35">
      <c r="A3" s="17" t="s">
        <v>1</v>
      </c>
      <c r="B3" s="17" t="s">
        <v>2</v>
      </c>
      <c r="C3" s="18" t="s">
        <v>3</v>
      </c>
      <c r="D3" s="20" t="s">
        <v>26</v>
      </c>
      <c r="E3" s="19" t="s">
        <v>4</v>
      </c>
      <c r="F3" s="19" t="s">
        <v>5</v>
      </c>
      <c r="G3" s="19" t="s">
        <v>6</v>
      </c>
      <c r="H3" s="19" t="s">
        <v>7</v>
      </c>
      <c r="I3" s="19" t="s">
        <v>8</v>
      </c>
      <c r="J3" s="19" t="s">
        <v>9</v>
      </c>
      <c r="K3" s="20" t="s">
        <v>57</v>
      </c>
      <c r="L3" s="20" t="s">
        <v>58</v>
      </c>
      <c r="M3" s="20" t="s">
        <v>59</v>
      </c>
      <c r="N3" s="18" t="s">
        <v>60</v>
      </c>
      <c r="O3" s="18" t="s">
        <v>61</v>
      </c>
      <c r="P3" s="18" t="s">
        <v>62</v>
      </c>
      <c r="Q3" s="18" t="s">
        <v>28</v>
      </c>
      <c r="R3" s="18" t="s">
        <v>10</v>
      </c>
      <c r="S3" s="21" t="s">
        <v>13</v>
      </c>
      <c r="T3" s="18" t="s">
        <v>30</v>
      </c>
    </row>
    <row r="4" spans="1:20" x14ac:dyDescent="0.35">
      <c r="A4" s="28">
        <v>2</v>
      </c>
      <c r="B4" s="38">
        <v>39454832</v>
      </c>
      <c r="C4" s="43">
        <v>45606</v>
      </c>
      <c r="D4" s="31">
        <v>102621012982700</v>
      </c>
      <c r="E4" s="40">
        <v>45665</v>
      </c>
      <c r="F4" s="40">
        <v>45665</v>
      </c>
      <c r="G4" s="28">
        <v>1</v>
      </c>
      <c r="H4" s="41" t="s">
        <v>63</v>
      </c>
      <c r="I4" s="42" t="s">
        <v>64</v>
      </c>
      <c r="J4" s="28"/>
      <c r="K4" s="29"/>
      <c r="L4" s="29"/>
      <c r="M4" s="29"/>
      <c r="N4" s="28"/>
      <c r="O4" s="28"/>
      <c r="P4" s="28"/>
      <c r="Q4" s="44" t="s">
        <v>65</v>
      </c>
      <c r="R4" s="28"/>
      <c r="S4" s="28"/>
      <c r="T4" s="27"/>
    </row>
    <row r="5" spans="1:20" x14ac:dyDescent="0.35">
      <c r="A5" s="28"/>
      <c r="B5" s="27"/>
      <c r="C5" s="26"/>
      <c r="D5" s="31"/>
      <c r="E5" s="26"/>
      <c r="F5" s="26"/>
      <c r="G5" s="28"/>
      <c r="H5" s="26"/>
      <c r="I5" s="26"/>
      <c r="J5" s="28"/>
      <c r="K5" s="29"/>
      <c r="L5" s="29"/>
      <c r="M5" s="29"/>
      <c r="N5" s="28"/>
      <c r="O5" s="28"/>
      <c r="P5" s="28"/>
      <c r="Q5" s="27"/>
      <c r="R5" s="28"/>
      <c r="S5" s="28"/>
      <c r="T5" s="27"/>
    </row>
    <row r="6" spans="1:20" x14ac:dyDescent="0.35">
      <c r="A6" s="28"/>
      <c r="B6" s="27"/>
      <c r="C6" s="26"/>
      <c r="D6" s="31"/>
      <c r="E6" s="26"/>
      <c r="F6" s="26"/>
      <c r="G6" s="28"/>
      <c r="H6" s="26"/>
      <c r="I6" s="26"/>
      <c r="J6" s="28"/>
      <c r="K6" s="29"/>
      <c r="L6" s="29"/>
      <c r="M6" s="29"/>
      <c r="N6" s="28"/>
      <c r="O6" s="28"/>
      <c r="P6" s="28"/>
      <c r="Q6" s="27"/>
      <c r="R6" s="28"/>
      <c r="S6" s="28"/>
      <c r="T6" s="27"/>
    </row>
    <row r="7" spans="1:20" x14ac:dyDescent="0.35">
      <c r="A7" s="28"/>
      <c r="B7" s="27"/>
      <c r="C7" s="26"/>
      <c r="D7" s="31"/>
      <c r="E7" s="26"/>
      <c r="F7" s="26"/>
      <c r="G7" s="28"/>
      <c r="H7" s="26"/>
      <c r="I7" s="26"/>
      <c r="J7" s="28"/>
      <c r="K7" s="29"/>
      <c r="L7" s="29"/>
      <c r="M7" s="29"/>
      <c r="N7" s="28"/>
      <c r="O7" s="28"/>
      <c r="P7" s="28"/>
      <c r="Q7" s="27"/>
      <c r="R7" s="28"/>
      <c r="S7" s="28"/>
      <c r="T7" s="27"/>
    </row>
    <row r="8" spans="1:20" x14ac:dyDescent="0.35">
      <c r="A8" s="28"/>
      <c r="B8" s="27"/>
      <c r="C8" s="26"/>
      <c r="D8" s="31"/>
      <c r="E8" s="26"/>
      <c r="F8" s="26"/>
      <c r="G8" s="28"/>
      <c r="H8" s="26"/>
      <c r="I8" s="26"/>
      <c r="J8" s="28"/>
      <c r="K8" s="29"/>
      <c r="L8" s="29"/>
      <c r="M8" s="29"/>
      <c r="N8" s="28"/>
      <c r="O8" s="28"/>
      <c r="P8" s="28"/>
      <c r="Q8" s="27"/>
      <c r="R8" s="28"/>
      <c r="S8" s="28"/>
      <c r="T8" s="27"/>
    </row>
    <row r="9" spans="1:20" x14ac:dyDescent="0.35">
      <c r="A9" s="28"/>
      <c r="B9" s="27"/>
      <c r="C9" s="26"/>
      <c r="D9" s="31"/>
      <c r="E9" s="26"/>
      <c r="F9" s="26"/>
      <c r="G9" s="28"/>
      <c r="H9" s="26"/>
      <c r="I9" s="26"/>
      <c r="J9" s="28"/>
      <c r="K9" s="29"/>
      <c r="L9" s="29"/>
      <c r="M9" s="29"/>
      <c r="N9" s="28"/>
      <c r="O9" s="28"/>
      <c r="P9" s="28"/>
      <c r="Q9" s="27"/>
      <c r="R9" s="28"/>
      <c r="S9" s="28"/>
      <c r="T9" s="27"/>
    </row>
    <row r="10" spans="1:20" x14ac:dyDescent="0.35">
      <c r="A10" s="28"/>
      <c r="B10" s="27"/>
      <c r="C10" s="26"/>
      <c r="D10" s="31"/>
      <c r="E10" s="26"/>
      <c r="F10" s="26"/>
      <c r="G10" s="28"/>
      <c r="H10" s="26"/>
      <c r="I10" s="26"/>
      <c r="J10" s="28"/>
      <c r="K10" s="29"/>
      <c r="L10" s="29"/>
      <c r="M10" s="29"/>
      <c r="N10" s="28"/>
      <c r="O10" s="28"/>
      <c r="P10" s="28"/>
      <c r="Q10" s="27"/>
      <c r="R10" s="28"/>
      <c r="S10" s="28"/>
      <c r="T10" s="27"/>
    </row>
    <row r="11" spans="1:20" x14ac:dyDescent="0.35">
      <c r="A11" s="28"/>
      <c r="B11" s="27"/>
      <c r="C11" s="26"/>
      <c r="D11" s="31"/>
      <c r="E11" s="26"/>
      <c r="F11" s="26"/>
      <c r="G11" s="28"/>
      <c r="H11" s="26"/>
      <c r="I11" s="26"/>
      <c r="J11" s="28"/>
      <c r="K11" s="29"/>
      <c r="L11" s="29"/>
      <c r="M11" s="29"/>
      <c r="N11" s="28"/>
      <c r="O11" s="28"/>
      <c r="P11" s="28"/>
      <c r="Q11" s="27"/>
      <c r="R11" s="28"/>
      <c r="S11" s="28"/>
      <c r="T11" s="27"/>
    </row>
    <row r="12" spans="1:20" x14ac:dyDescent="0.35">
      <c r="A12" s="28"/>
      <c r="B12" s="27"/>
      <c r="C12" s="26"/>
      <c r="D12" s="31"/>
      <c r="E12" s="26"/>
      <c r="F12" s="26"/>
      <c r="G12" s="28"/>
      <c r="H12" s="26"/>
      <c r="I12" s="26"/>
      <c r="J12" s="28"/>
      <c r="K12" s="29"/>
      <c r="L12" s="29"/>
      <c r="M12" s="29"/>
      <c r="N12" s="28"/>
      <c r="O12" s="28"/>
      <c r="P12" s="28"/>
      <c r="Q12" s="27"/>
      <c r="R12" s="28"/>
      <c r="S12" s="28"/>
      <c r="T12" s="27"/>
    </row>
    <row r="13" spans="1:20" x14ac:dyDescent="0.35">
      <c r="A13" s="28"/>
      <c r="B13" s="27"/>
      <c r="C13" s="26"/>
      <c r="D13" s="31"/>
      <c r="E13" s="26"/>
      <c r="F13" s="26"/>
      <c r="G13" s="28"/>
      <c r="H13" s="26"/>
      <c r="I13" s="26"/>
      <c r="J13" s="28"/>
      <c r="K13" s="29"/>
      <c r="L13" s="29"/>
      <c r="M13" s="29"/>
      <c r="N13" s="28"/>
      <c r="O13" s="28"/>
      <c r="P13" s="28"/>
      <c r="Q13" s="27"/>
      <c r="R13" s="28"/>
      <c r="S13" s="28"/>
      <c r="T13" s="27"/>
    </row>
    <row r="14" spans="1:20" x14ac:dyDescent="0.35">
      <c r="A14" s="28"/>
      <c r="B14" s="27"/>
      <c r="C14" s="26"/>
      <c r="D14" s="31"/>
      <c r="E14" s="26"/>
      <c r="F14" s="26"/>
      <c r="G14" s="28"/>
      <c r="H14" s="26"/>
      <c r="I14" s="26"/>
      <c r="J14" s="28"/>
      <c r="K14" s="29"/>
      <c r="L14" s="29"/>
      <c r="M14" s="29"/>
      <c r="N14" s="28"/>
      <c r="O14" s="28"/>
      <c r="P14" s="28"/>
      <c r="Q14" s="27"/>
      <c r="R14" s="28"/>
      <c r="S14" s="28"/>
      <c r="T14" s="27"/>
    </row>
    <row r="15" spans="1:20" x14ac:dyDescent="0.35">
      <c r="A15" s="28"/>
      <c r="B15" s="27"/>
      <c r="C15" s="26"/>
      <c r="D15" s="31"/>
      <c r="E15" s="26"/>
      <c r="F15" s="26"/>
      <c r="G15" s="28"/>
      <c r="H15" s="26"/>
      <c r="I15" s="26"/>
      <c r="J15" s="28"/>
      <c r="K15" s="29"/>
      <c r="L15" s="29"/>
      <c r="M15" s="29"/>
      <c r="N15" s="28"/>
      <c r="O15" s="28"/>
      <c r="P15" s="28"/>
      <c r="Q15" s="27"/>
      <c r="R15" s="28"/>
      <c r="S15" s="28"/>
      <c r="T15" s="27"/>
    </row>
    <row r="16" spans="1:20" x14ac:dyDescent="0.35">
      <c r="A16" s="28"/>
      <c r="B16" s="27"/>
      <c r="C16" s="26"/>
      <c r="D16" s="31"/>
      <c r="E16" s="26"/>
      <c r="F16" s="26"/>
      <c r="G16" s="28"/>
      <c r="H16" s="26"/>
      <c r="I16" s="26"/>
      <c r="J16" s="28"/>
      <c r="K16" s="29"/>
      <c r="L16" s="29"/>
      <c r="M16" s="29"/>
      <c r="N16" s="28"/>
      <c r="O16" s="28"/>
      <c r="P16" s="28"/>
      <c r="Q16" s="27"/>
      <c r="R16" s="28"/>
      <c r="S16" s="28"/>
      <c r="T16" s="27"/>
    </row>
    <row r="17" spans="1:20" x14ac:dyDescent="0.35">
      <c r="A17" s="28"/>
      <c r="B17" s="27"/>
      <c r="C17" s="26"/>
      <c r="D17" s="31"/>
      <c r="E17" s="26"/>
      <c r="F17" s="26"/>
      <c r="G17" s="28"/>
      <c r="H17" s="26"/>
      <c r="I17" s="26"/>
      <c r="J17" s="28"/>
      <c r="K17" s="29"/>
      <c r="L17" s="29"/>
      <c r="M17" s="29"/>
      <c r="N17" s="28"/>
      <c r="O17" s="28"/>
      <c r="P17" s="28"/>
      <c r="Q17" s="27"/>
      <c r="R17" s="28"/>
      <c r="S17" s="28"/>
      <c r="T17" s="27"/>
    </row>
    <row r="18" spans="1:20" x14ac:dyDescent="0.35">
      <c r="A18" s="28"/>
      <c r="B18" s="27"/>
      <c r="C18" s="26"/>
      <c r="D18" s="31"/>
      <c r="E18" s="26"/>
      <c r="F18" s="26"/>
      <c r="G18" s="28"/>
      <c r="H18" s="26"/>
      <c r="I18" s="26"/>
      <c r="J18" s="28"/>
      <c r="K18" s="29"/>
      <c r="L18" s="29"/>
      <c r="M18" s="29"/>
      <c r="N18" s="28"/>
      <c r="O18" s="28"/>
      <c r="P18" s="28"/>
      <c r="Q18" s="27"/>
      <c r="R18" s="28"/>
      <c r="S18" s="28"/>
      <c r="T18" s="27"/>
    </row>
    <row r="19" spans="1:20" x14ac:dyDescent="0.35">
      <c r="A19" s="28"/>
      <c r="B19" s="27"/>
      <c r="C19" s="26"/>
      <c r="D19" s="31"/>
      <c r="E19" s="26"/>
      <c r="F19" s="26"/>
      <c r="G19" s="28"/>
      <c r="H19" s="26"/>
      <c r="I19" s="26"/>
      <c r="J19" s="28"/>
      <c r="K19" s="29"/>
      <c r="L19" s="29"/>
      <c r="M19" s="29"/>
      <c r="N19" s="28"/>
      <c r="O19" s="28"/>
      <c r="P19" s="28"/>
      <c r="Q19" s="27"/>
      <c r="R19" s="28"/>
      <c r="S19" s="28"/>
      <c r="T19" s="27"/>
    </row>
    <row r="20" spans="1:20" x14ac:dyDescent="0.35">
      <c r="A20" s="28"/>
      <c r="B20" s="27"/>
      <c r="C20" s="26"/>
      <c r="D20" s="31"/>
      <c r="E20" s="26"/>
      <c r="F20" s="26"/>
      <c r="G20" s="28"/>
      <c r="H20" s="26"/>
      <c r="I20" s="26"/>
      <c r="J20" s="28"/>
      <c r="K20" s="29"/>
      <c r="L20" s="29"/>
      <c r="M20" s="29"/>
      <c r="N20" s="28"/>
      <c r="O20" s="28"/>
      <c r="P20" s="28"/>
      <c r="Q20" s="27"/>
      <c r="R20" s="28"/>
      <c r="S20" s="28"/>
      <c r="T20" s="27"/>
    </row>
    <row r="21" spans="1:20" x14ac:dyDescent="0.35">
      <c r="A21" s="28"/>
      <c r="B21" s="27"/>
      <c r="C21" s="26"/>
      <c r="D21" s="31"/>
      <c r="E21" s="26"/>
      <c r="F21" s="26"/>
      <c r="G21" s="28"/>
      <c r="H21" s="26"/>
      <c r="I21" s="26"/>
      <c r="J21" s="28"/>
      <c r="K21" s="29"/>
      <c r="L21" s="29"/>
      <c r="M21" s="29"/>
      <c r="N21" s="28"/>
      <c r="O21" s="28"/>
      <c r="P21" s="28"/>
      <c r="Q21" s="27"/>
      <c r="R21" s="28"/>
      <c r="S21" s="28"/>
      <c r="T21" s="27"/>
    </row>
    <row r="22" spans="1:20" x14ac:dyDescent="0.35">
      <c r="A22" s="28"/>
      <c r="B22" s="27"/>
      <c r="C22" s="26"/>
      <c r="D22" s="31"/>
      <c r="E22" s="26"/>
      <c r="F22" s="26"/>
      <c r="G22" s="28"/>
      <c r="H22" s="26"/>
      <c r="I22" s="26"/>
      <c r="J22" s="28"/>
      <c r="K22" s="29"/>
      <c r="L22" s="29"/>
      <c r="M22" s="29"/>
      <c r="N22" s="28"/>
      <c r="O22" s="28"/>
      <c r="P22" s="28"/>
      <c r="Q22" s="27"/>
      <c r="R22" s="28"/>
      <c r="S22" s="28"/>
      <c r="T22" s="27"/>
    </row>
    <row r="23" spans="1:20" x14ac:dyDescent="0.35">
      <c r="A23" s="28"/>
      <c r="B23" s="27"/>
      <c r="C23" s="26"/>
      <c r="D23" s="31"/>
      <c r="E23" s="26"/>
      <c r="F23" s="26"/>
      <c r="G23" s="28"/>
      <c r="H23" s="26"/>
      <c r="I23" s="26"/>
      <c r="J23" s="28"/>
      <c r="K23" s="29"/>
      <c r="L23" s="29"/>
      <c r="M23" s="29"/>
      <c r="N23" s="28"/>
      <c r="O23" s="28"/>
      <c r="P23" s="28"/>
      <c r="Q23" s="27"/>
      <c r="R23" s="28"/>
      <c r="S23" s="28"/>
      <c r="T23" s="27"/>
    </row>
    <row r="24" spans="1:20" x14ac:dyDescent="0.35">
      <c r="A24" s="28"/>
      <c r="B24" s="27"/>
      <c r="C24" s="26"/>
      <c r="D24" s="31"/>
      <c r="E24" s="26"/>
      <c r="F24" s="26"/>
      <c r="G24" s="28"/>
      <c r="H24" s="26"/>
      <c r="I24" s="26"/>
      <c r="J24" s="28"/>
      <c r="K24" s="29"/>
      <c r="L24" s="29"/>
      <c r="M24" s="29"/>
      <c r="N24" s="28"/>
      <c r="O24" s="28"/>
      <c r="P24" s="28"/>
      <c r="Q24" s="27"/>
      <c r="R24" s="28"/>
      <c r="S24" s="28"/>
      <c r="T24" s="27"/>
    </row>
    <row r="25" spans="1:20" x14ac:dyDescent="0.35">
      <c r="A25" s="28"/>
      <c r="B25" s="27"/>
      <c r="C25" s="26"/>
      <c r="D25" s="31"/>
      <c r="E25" s="26"/>
      <c r="F25" s="26"/>
      <c r="G25" s="28"/>
      <c r="H25" s="26"/>
      <c r="I25" s="26"/>
      <c r="J25" s="28"/>
      <c r="K25" s="29"/>
      <c r="L25" s="29"/>
      <c r="M25" s="29"/>
      <c r="N25" s="28"/>
      <c r="O25" s="28"/>
      <c r="P25" s="28"/>
      <c r="Q25" s="27"/>
      <c r="R25" s="28"/>
      <c r="S25" s="28"/>
      <c r="T25" s="27"/>
    </row>
    <row r="26" spans="1:20" x14ac:dyDescent="0.35">
      <c r="A26" s="28"/>
      <c r="B26" s="27"/>
      <c r="C26" s="26"/>
      <c r="D26" s="31"/>
      <c r="E26" s="26"/>
      <c r="F26" s="26"/>
      <c r="G26" s="28"/>
      <c r="H26" s="26"/>
      <c r="I26" s="26"/>
      <c r="J26" s="28"/>
      <c r="K26" s="29"/>
      <c r="L26" s="29"/>
      <c r="M26" s="29"/>
      <c r="N26" s="28"/>
      <c r="O26" s="28"/>
      <c r="P26" s="28"/>
      <c r="Q26" s="27"/>
      <c r="R26" s="28"/>
      <c r="S26" s="28"/>
      <c r="T26" s="27"/>
    </row>
    <row r="27" spans="1:20" x14ac:dyDescent="0.35">
      <c r="A27" s="28"/>
      <c r="B27" s="27"/>
      <c r="C27" s="26"/>
      <c r="D27" s="31"/>
      <c r="E27" s="26"/>
      <c r="F27" s="26"/>
      <c r="G27" s="28"/>
      <c r="H27" s="26"/>
      <c r="I27" s="26"/>
      <c r="J27" s="28"/>
      <c r="K27" s="29"/>
      <c r="L27" s="29"/>
      <c r="M27" s="29"/>
      <c r="N27" s="28"/>
      <c r="O27" s="28"/>
      <c r="P27" s="28"/>
      <c r="Q27" s="27"/>
      <c r="R27" s="28"/>
      <c r="S27" s="28"/>
      <c r="T27" s="27"/>
    </row>
    <row r="28" spans="1:20" x14ac:dyDescent="0.35">
      <c r="A28" s="28"/>
      <c r="B28" s="27"/>
      <c r="C28" s="26"/>
      <c r="D28" s="31"/>
      <c r="E28" s="26"/>
      <c r="F28" s="26"/>
      <c r="G28" s="28"/>
      <c r="H28" s="26"/>
      <c r="I28" s="26"/>
      <c r="J28" s="28"/>
      <c r="K28" s="29"/>
      <c r="L28" s="29"/>
      <c r="M28" s="29"/>
      <c r="N28" s="28"/>
      <c r="O28" s="28"/>
      <c r="P28" s="28"/>
      <c r="Q28" s="27"/>
      <c r="R28" s="28"/>
      <c r="S28" s="28"/>
      <c r="T28" s="27"/>
    </row>
    <row r="29" spans="1:20" x14ac:dyDescent="0.35">
      <c r="A29" s="28"/>
      <c r="B29" s="27"/>
      <c r="C29" s="26"/>
      <c r="D29" s="31"/>
      <c r="E29" s="26"/>
      <c r="F29" s="26"/>
      <c r="G29" s="28"/>
      <c r="H29" s="26"/>
      <c r="I29" s="26"/>
      <c r="J29" s="28"/>
      <c r="K29" s="29"/>
      <c r="L29" s="29"/>
      <c r="M29" s="29"/>
      <c r="N29" s="28"/>
      <c r="O29" s="28"/>
      <c r="P29" s="28"/>
      <c r="Q29" s="27"/>
      <c r="R29" s="28"/>
      <c r="S29" s="28"/>
      <c r="T29" s="27"/>
    </row>
    <row r="30" spans="1:20" x14ac:dyDescent="0.35">
      <c r="A30" s="28"/>
      <c r="B30" s="27"/>
      <c r="C30" s="26"/>
      <c r="D30" s="31"/>
      <c r="E30" s="26"/>
      <c r="F30" s="26"/>
      <c r="G30" s="28"/>
      <c r="H30" s="26"/>
      <c r="I30" s="26"/>
      <c r="J30" s="28"/>
      <c r="K30" s="29"/>
      <c r="L30" s="29"/>
      <c r="M30" s="29"/>
      <c r="N30" s="28"/>
      <c r="O30" s="28"/>
      <c r="P30" s="28"/>
      <c r="Q30" s="27"/>
      <c r="R30" s="28"/>
      <c r="S30" s="28"/>
      <c r="T30" s="27"/>
    </row>
    <row r="31" spans="1:20" x14ac:dyDescent="0.35">
      <c r="A31" s="28"/>
      <c r="B31" s="27"/>
      <c r="C31" s="26"/>
      <c r="D31" s="31"/>
      <c r="E31" s="26"/>
      <c r="F31" s="26"/>
      <c r="G31" s="28"/>
      <c r="H31" s="26"/>
      <c r="I31" s="26"/>
      <c r="J31" s="28"/>
      <c r="K31" s="29"/>
      <c r="L31" s="29"/>
      <c r="M31" s="29"/>
      <c r="N31" s="28"/>
      <c r="O31" s="28"/>
      <c r="P31" s="28"/>
      <c r="Q31" s="27"/>
      <c r="R31" s="28"/>
      <c r="S31" s="28"/>
      <c r="T31" s="27"/>
    </row>
    <row r="32" spans="1:20" x14ac:dyDescent="0.35">
      <c r="A32" s="28"/>
      <c r="B32" s="27"/>
      <c r="C32" s="26"/>
      <c r="D32" s="31"/>
      <c r="E32" s="26"/>
      <c r="F32" s="26"/>
      <c r="G32" s="28"/>
      <c r="H32" s="26"/>
      <c r="I32" s="26"/>
      <c r="J32" s="28"/>
      <c r="K32" s="29"/>
      <c r="L32" s="29"/>
      <c r="M32" s="29"/>
      <c r="N32" s="28"/>
      <c r="O32" s="28"/>
      <c r="P32" s="28"/>
      <c r="Q32" s="27"/>
      <c r="R32" s="28"/>
      <c r="S32" s="28"/>
      <c r="T32" s="27"/>
    </row>
    <row r="33" spans="1:20" x14ac:dyDescent="0.35">
      <c r="A33" s="28"/>
      <c r="B33" s="27"/>
      <c r="C33" s="26"/>
      <c r="D33" s="31"/>
      <c r="E33" s="26"/>
      <c r="F33" s="26"/>
      <c r="G33" s="28"/>
      <c r="H33" s="26"/>
      <c r="I33" s="26"/>
      <c r="J33" s="28"/>
      <c r="K33" s="29"/>
      <c r="L33" s="29"/>
      <c r="M33" s="29"/>
      <c r="N33" s="28"/>
      <c r="O33" s="28"/>
      <c r="P33" s="28"/>
      <c r="Q33" s="27"/>
      <c r="R33" s="28"/>
      <c r="S33" s="28"/>
      <c r="T33" s="27"/>
    </row>
    <row r="34" spans="1:20" x14ac:dyDescent="0.35">
      <c r="A34" s="28"/>
      <c r="B34" s="27"/>
      <c r="C34" s="26"/>
      <c r="D34" s="31"/>
      <c r="E34" s="26"/>
      <c r="F34" s="26"/>
      <c r="G34" s="28"/>
      <c r="H34" s="26"/>
      <c r="I34" s="26"/>
      <c r="J34" s="28"/>
      <c r="K34" s="29"/>
      <c r="L34" s="29"/>
      <c r="M34" s="29"/>
      <c r="N34" s="28"/>
      <c r="O34" s="28"/>
      <c r="P34" s="28"/>
      <c r="Q34" s="27"/>
      <c r="R34" s="28"/>
      <c r="S34" s="28"/>
      <c r="T34" s="27"/>
    </row>
    <row r="35" spans="1:20" x14ac:dyDescent="0.35">
      <c r="A35" s="28"/>
      <c r="B35" s="27"/>
      <c r="C35" s="26"/>
      <c r="D35" s="31"/>
      <c r="E35" s="26"/>
      <c r="F35" s="26"/>
      <c r="G35" s="28"/>
      <c r="H35" s="26"/>
      <c r="I35" s="26"/>
      <c r="J35" s="28"/>
      <c r="K35" s="29"/>
      <c r="L35" s="29"/>
      <c r="M35" s="29"/>
      <c r="N35" s="28"/>
      <c r="O35" s="28"/>
      <c r="P35" s="28"/>
      <c r="Q35" s="27"/>
      <c r="R35" s="28"/>
      <c r="S35" s="28"/>
      <c r="T35" s="27"/>
    </row>
    <row r="36" spans="1:20" x14ac:dyDescent="0.35">
      <c r="A36" s="28"/>
      <c r="B36" s="27"/>
      <c r="C36" s="26"/>
      <c r="D36" s="31"/>
      <c r="E36" s="26"/>
      <c r="F36" s="26"/>
      <c r="G36" s="28"/>
      <c r="H36" s="26"/>
      <c r="I36" s="26"/>
      <c r="J36" s="28"/>
      <c r="K36" s="29"/>
      <c r="L36" s="29"/>
      <c r="M36" s="29"/>
      <c r="N36" s="28"/>
      <c r="O36" s="28"/>
      <c r="P36" s="28"/>
      <c r="Q36" s="27"/>
      <c r="R36" s="28"/>
      <c r="S36" s="28"/>
      <c r="T36" s="27"/>
    </row>
    <row r="37" spans="1:20" x14ac:dyDescent="0.35">
      <c r="A37" s="28"/>
      <c r="B37" s="27"/>
      <c r="C37" s="26"/>
      <c r="D37" s="31"/>
      <c r="E37" s="26"/>
      <c r="F37" s="26"/>
      <c r="G37" s="28"/>
      <c r="H37" s="26"/>
      <c r="I37" s="26"/>
      <c r="J37" s="28"/>
      <c r="K37" s="29"/>
      <c r="L37" s="29"/>
      <c r="M37" s="29"/>
      <c r="N37" s="28"/>
      <c r="O37" s="28"/>
      <c r="P37" s="28"/>
      <c r="Q37" s="27"/>
      <c r="R37" s="28"/>
      <c r="S37" s="28"/>
      <c r="T37" s="27"/>
    </row>
    <row r="38" spans="1:20" x14ac:dyDescent="0.35">
      <c r="A38" s="28"/>
      <c r="B38" s="27"/>
      <c r="C38" s="26"/>
      <c r="D38" s="31"/>
      <c r="E38" s="26"/>
      <c r="F38" s="26"/>
      <c r="G38" s="28"/>
      <c r="H38" s="26"/>
      <c r="I38" s="26"/>
      <c r="J38" s="28"/>
      <c r="K38" s="29"/>
      <c r="L38" s="29"/>
      <c r="M38" s="29"/>
      <c r="N38" s="28"/>
      <c r="O38" s="28"/>
      <c r="P38" s="28"/>
      <c r="Q38" s="27"/>
      <c r="R38" s="28"/>
      <c r="S38" s="28"/>
      <c r="T38" s="27"/>
    </row>
    <row r="39" spans="1:20" x14ac:dyDescent="0.35">
      <c r="A39" s="28"/>
      <c r="B39" s="27"/>
      <c r="C39" s="26"/>
      <c r="D39" s="31"/>
      <c r="E39" s="26"/>
      <c r="F39" s="26"/>
      <c r="G39" s="28"/>
      <c r="H39" s="26"/>
      <c r="I39" s="26"/>
      <c r="J39" s="28"/>
      <c r="K39" s="29"/>
      <c r="L39" s="29"/>
      <c r="M39" s="29"/>
      <c r="N39" s="28"/>
      <c r="O39" s="28"/>
      <c r="P39" s="28"/>
      <c r="Q39" s="27"/>
      <c r="R39" s="28"/>
      <c r="S39" s="28"/>
      <c r="T39" s="27"/>
    </row>
    <row r="40" spans="1:20" x14ac:dyDescent="0.35">
      <c r="A40" s="28"/>
      <c r="B40" s="27"/>
      <c r="C40" s="26"/>
      <c r="D40" s="31"/>
      <c r="E40" s="26"/>
      <c r="F40" s="26"/>
      <c r="G40" s="28"/>
      <c r="H40" s="26"/>
      <c r="I40" s="26"/>
      <c r="J40" s="28"/>
      <c r="K40" s="29"/>
      <c r="L40" s="29"/>
      <c r="M40" s="29"/>
      <c r="N40" s="28"/>
      <c r="O40" s="28"/>
      <c r="P40" s="28"/>
      <c r="Q40" s="27"/>
      <c r="R40" s="28"/>
      <c r="S40" s="28"/>
      <c r="T40" s="27"/>
    </row>
    <row r="41" spans="1:20" x14ac:dyDescent="0.35">
      <c r="A41" s="28"/>
      <c r="B41" s="27"/>
      <c r="C41" s="26"/>
      <c r="D41" s="31"/>
      <c r="E41" s="26"/>
      <c r="F41" s="26"/>
      <c r="G41" s="28"/>
      <c r="H41" s="26"/>
      <c r="I41" s="26"/>
      <c r="J41" s="28"/>
      <c r="K41" s="29"/>
      <c r="L41" s="29"/>
      <c r="M41" s="29"/>
      <c r="N41" s="28"/>
      <c r="O41" s="28"/>
      <c r="P41" s="28"/>
      <c r="Q41" s="27"/>
      <c r="R41" s="28"/>
      <c r="S41" s="28"/>
      <c r="T41" s="27"/>
    </row>
    <row r="42" spans="1:20" x14ac:dyDescent="0.35">
      <c r="A42" s="28"/>
      <c r="B42" s="27"/>
      <c r="C42" s="26"/>
      <c r="D42" s="31"/>
      <c r="E42" s="26"/>
      <c r="F42" s="26"/>
      <c r="G42" s="28"/>
      <c r="H42" s="26"/>
      <c r="I42" s="26"/>
      <c r="J42" s="28"/>
      <c r="K42" s="29"/>
      <c r="L42" s="29"/>
      <c r="M42" s="29"/>
      <c r="N42" s="28"/>
      <c r="O42" s="28"/>
      <c r="P42" s="28"/>
      <c r="Q42" s="27"/>
      <c r="R42" s="28"/>
      <c r="S42" s="28"/>
      <c r="T42" s="27"/>
    </row>
    <row r="43" spans="1:20" x14ac:dyDescent="0.35">
      <c r="A43" s="28"/>
      <c r="B43" s="27"/>
      <c r="C43" s="26"/>
      <c r="D43" s="31"/>
      <c r="E43" s="26"/>
      <c r="F43" s="26"/>
      <c r="G43" s="28"/>
      <c r="H43" s="26"/>
      <c r="I43" s="26"/>
      <c r="J43" s="28"/>
      <c r="K43" s="29"/>
      <c r="L43" s="29"/>
      <c r="M43" s="29"/>
      <c r="N43" s="28"/>
      <c r="O43" s="28"/>
      <c r="P43" s="28"/>
      <c r="Q43" s="27"/>
      <c r="R43" s="28"/>
      <c r="S43" s="28"/>
      <c r="T43" s="27"/>
    </row>
    <row r="44" spans="1:20" x14ac:dyDescent="0.35">
      <c r="A44" s="28"/>
      <c r="B44" s="27"/>
      <c r="C44" s="26"/>
      <c r="D44" s="31"/>
      <c r="E44" s="26"/>
      <c r="F44" s="26"/>
      <c r="G44" s="28"/>
      <c r="H44" s="26"/>
      <c r="I44" s="26"/>
      <c r="J44" s="28"/>
      <c r="K44" s="29"/>
      <c r="L44" s="29"/>
      <c r="M44" s="29"/>
      <c r="N44" s="28"/>
      <c r="O44" s="28"/>
      <c r="P44" s="28"/>
      <c r="Q44" s="27"/>
      <c r="R44" s="28"/>
      <c r="S44" s="28"/>
      <c r="T44" s="27"/>
    </row>
    <row r="45" spans="1:20" x14ac:dyDescent="0.35">
      <c r="A45" s="28"/>
      <c r="B45" s="27"/>
      <c r="C45" s="26"/>
      <c r="D45" s="31"/>
      <c r="E45" s="26"/>
      <c r="F45" s="26"/>
      <c r="G45" s="28"/>
      <c r="H45" s="26"/>
      <c r="I45" s="26"/>
      <c r="J45" s="28"/>
      <c r="K45" s="29"/>
      <c r="L45" s="29"/>
      <c r="M45" s="29"/>
      <c r="N45" s="28"/>
      <c r="O45" s="28"/>
      <c r="P45" s="28"/>
      <c r="Q45" s="27"/>
      <c r="R45" s="28"/>
      <c r="S45" s="28"/>
      <c r="T45" s="27"/>
    </row>
    <row r="46" spans="1:20" x14ac:dyDescent="0.35">
      <c r="A46" s="28"/>
      <c r="B46" s="27"/>
      <c r="C46" s="26"/>
      <c r="D46" s="31"/>
      <c r="E46" s="26"/>
      <c r="F46" s="26"/>
      <c r="G46" s="28"/>
      <c r="H46" s="26"/>
      <c r="I46" s="26"/>
      <c r="J46" s="28"/>
      <c r="K46" s="29"/>
      <c r="L46" s="29"/>
      <c r="M46" s="29"/>
      <c r="N46" s="28"/>
      <c r="O46" s="28"/>
      <c r="P46" s="28"/>
      <c r="Q46" s="27"/>
      <c r="R46" s="28"/>
      <c r="S46" s="28"/>
      <c r="T46" s="27"/>
    </row>
    <row r="47" spans="1:20" x14ac:dyDescent="0.35">
      <c r="A47" s="28"/>
      <c r="B47" s="27"/>
      <c r="C47" s="26"/>
      <c r="D47" s="31"/>
      <c r="E47" s="26"/>
      <c r="F47" s="26"/>
      <c r="G47" s="28"/>
      <c r="H47" s="26"/>
      <c r="I47" s="26"/>
      <c r="J47" s="28"/>
      <c r="K47" s="29"/>
      <c r="L47" s="29"/>
      <c r="M47" s="29"/>
      <c r="N47" s="28"/>
      <c r="O47" s="28"/>
      <c r="P47" s="28"/>
      <c r="Q47" s="27"/>
      <c r="R47" s="28"/>
      <c r="S47" s="28"/>
      <c r="T47" s="27"/>
    </row>
    <row r="48" spans="1:20" x14ac:dyDescent="0.35">
      <c r="A48" s="28"/>
      <c r="B48" s="27"/>
      <c r="C48" s="26"/>
      <c r="D48" s="31"/>
      <c r="E48" s="26"/>
      <c r="F48" s="26"/>
      <c r="G48" s="28"/>
      <c r="H48" s="26"/>
      <c r="I48" s="26"/>
      <c r="J48" s="28"/>
      <c r="K48" s="29"/>
      <c r="L48" s="29"/>
      <c r="M48" s="29"/>
      <c r="N48" s="28"/>
      <c r="O48" s="28"/>
      <c r="P48" s="28"/>
      <c r="Q48" s="27"/>
      <c r="R48" s="28"/>
      <c r="S48" s="28"/>
      <c r="T48" s="27"/>
    </row>
    <row r="49" spans="1:20" x14ac:dyDescent="0.35">
      <c r="A49" s="28"/>
      <c r="B49" s="27"/>
      <c r="C49" s="26"/>
      <c r="D49" s="31"/>
      <c r="E49" s="26"/>
      <c r="F49" s="26"/>
      <c r="G49" s="28"/>
      <c r="H49" s="26"/>
      <c r="I49" s="26"/>
      <c r="J49" s="28"/>
      <c r="K49" s="29"/>
      <c r="L49" s="29"/>
      <c r="M49" s="29"/>
      <c r="N49" s="28"/>
      <c r="O49" s="28"/>
      <c r="P49" s="28"/>
      <c r="Q49" s="27"/>
      <c r="R49" s="28"/>
      <c r="S49" s="28"/>
      <c r="T49" s="27"/>
    </row>
    <row r="50" spans="1:20" x14ac:dyDescent="0.35">
      <c r="A50" s="28"/>
      <c r="B50" s="27"/>
      <c r="C50" s="26"/>
      <c r="D50" s="31"/>
      <c r="E50" s="26"/>
      <c r="F50" s="26"/>
      <c r="G50" s="28"/>
      <c r="H50" s="26"/>
      <c r="I50" s="26"/>
      <c r="J50" s="28"/>
      <c r="K50" s="29"/>
      <c r="L50" s="29"/>
      <c r="M50" s="29"/>
      <c r="N50" s="28"/>
      <c r="O50" s="28"/>
      <c r="P50" s="28"/>
      <c r="Q50" s="27"/>
      <c r="R50" s="28"/>
      <c r="S50" s="28"/>
      <c r="T50" s="27"/>
    </row>
    <row r="51" spans="1:20" x14ac:dyDescent="0.35">
      <c r="A51" s="28"/>
      <c r="B51" s="27"/>
      <c r="C51" s="26"/>
      <c r="D51" s="31"/>
      <c r="E51" s="26"/>
      <c r="F51" s="26"/>
      <c r="G51" s="28"/>
      <c r="H51" s="26"/>
      <c r="I51" s="26"/>
      <c r="J51" s="28"/>
      <c r="K51" s="29"/>
      <c r="L51" s="29"/>
      <c r="M51" s="29"/>
      <c r="N51" s="28"/>
      <c r="O51" s="28"/>
      <c r="P51" s="28"/>
      <c r="Q51" s="27"/>
      <c r="R51" s="28"/>
      <c r="S51" s="28"/>
      <c r="T51" s="27"/>
    </row>
    <row r="52" spans="1:20" x14ac:dyDescent="0.35">
      <c r="A52" s="28"/>
      <c r="B52" s="27"/>
      <c r="C52" s="26"/>
      <c r="D52" s="31"/>
      <c r="E52" s="26"/>
      <c r="F52" s="26"/>
      <c r="G52" s="28"/>
      <c r="H52" s="26"/>
      <c r="I52" s="26"/>
      <c r="J52" s="28"/>
      <c r="K52" s="29"/>
      <c r="L52" s="29"/>
      <c r="M52" s="29"/>
      <c r="N52" s="28"/>
      <c r="O52" s="28"/>
      <c r="P52" s="28"/>
      <c r="Q52" s="27"/>
      <c r="R52" s="28"/>
      <c r="S52" s="28"/>
      <c r="T52" s="27"/>
    </row>
    <row r="53" spans="1:20" x14ac:dyDescent="0.35">
      <c r="A53" s="28"/>
      <c r="B53" s="27"/>
      <c r="C53" s="26"/>
      <c r="D53" s="31"/>
      <c r="E53" s="26"/>
      <c r="F53" s="26"/>
      <c r="G53" s="28"/>
      <c r="H53" s="26"/>
      <c r="I53" s="26"/>
      <c r="J53" s="28"/>
      <c r="K53" s="29"/>
      <c r="L53" s="29"/>
      <c r="M53" s="29"/>
      <c r="N53" s="28"/>
      <c r="O53" s="28"/>
      <c r="P53" s="28"/>
      <c r="Q53" s="27"/>
      <c r="R53" s="28"/>
      <c r="S53" s="28"/>
      <c r="T53" s="27"/>
    </row>
    <row r="54" spans="1:20" x14ac:dyDescent="0.35">
      <c r="A54" s="28"/>
      <c r="B54" s="27"/>
      <c r="C54" s="26"/>
      <c r="D54" s="31"/>
      <c r="E54" s="26"/>
      <c r="F54" s="26"/>
      <c r="G54" s="28"/>
      <c r="H54" s="26"/>
      <c r="I54" s="26"/>
      <c r="J54" s="28"/>
      <c r="K54" s="29"/>
      <c r="L54" s="29"/>
      <c r="M54" s="29"/>
      <c r="N54" s="28"/>
      <c r="O54" s="28"/>
      <c r="P54" s="28"/>
      <c r="Q54" s="27"/>
      <c r="R54" s="28"/>
      <c r="S54" s="28"/>
      <c r="T54" s="27"/>
    </row>
    <row r="55" spans="1:20" x14ac:dyDescent="0.35">
      <c r="A55" s="28"/>
      <c r="B55" s="27"/>
      <c r="C55" s="26"/>
      <c r="D55" s="31"/>
      <c r="E55" s="26"/>
      <c r="F55" s="26"/>
      <c r="G55" s="28"/>
      <c r="H55" s="26"/>
      <c r="I55" s="26"/>
      <c r="J55" s="28"/>
      <c r="K55" s="29"/>
      <c r="L55" s="29"/>
      <c r="M55" s="29"/>
      <c r="N55" s="28"/>
      <c r="O55" s="28"/>
      <c r="P55" s="28"/>
      <c r="Q55" s="27"/>
      <c r="R55" s="28"/>
      <c r="S55" s="28"/>
      <c r="T55" s="27"/>
    </row>
    <row r="56" spans="1:20" x14ac:dyDescent="0.35">
      <c r="A56" s="28"/>
      <c r="B56" s="27"/>
      <c r="C56" s="26"/>
      <c r="D56" s="31"/>
      <c r="E56" s="26"/>
      <c r="F56" s="26"/>
      <c r="G56" s="28"/>
      <c r="H56" s="26"/>
      <c r="I56" s="26"/>
      <c r="J56" s="28"/>
      <c r="K56" s="29"/>
      <c r="L56" s="29"/>
      <c r="M56" s="29"/>
      <c r="N56" s="28"/>
      <c r="O56" s="28"/>
      <c r="P56" s="28"/>
      <c r="Q56" s="27"/>
      <c r="R56" s="28"/>
      <c r="S56" s="28"/>
      <c r="T56" s="27"/>
    </row>
    <row r="57" spans="1:20" x14ac:dyDescent="0.35">
      <c r="A57" s="28"/>
      <c r="B57" s="27"/>
      <c r="C57" s="26"/>
      <c r="D57" s="31"/>
      <c r="E57" s="26"/>
      <c r="F57" s="26"/>
      <c r="G57" s="28"/>
      <c r="H57" s="26"/>
      <c r="I57" s="26"/>
      <c r="J57" s="28"/>
      <c r="K57" s="29"/>
      <c r="L57" s="29"/>
      <c r="M57" s="29"/>
      <c r="N57" s="28"/>
      <c r="O57" s="28"/>
      <c r="P57" s="28"/>
      <c r="Q57" s="27"/>
      <c r="R57" s="28"/>
      <c r="S57" s="28"/>
      <c r="T57" s="27"/>
    </row>
    <row r="58" spans="1:20" x14ac:dyDescent="0.35">
      <c r="A58" s="28"/>
      <c r="B58" s="27"/>
      <c r="C58" s="26"/>
      <c r="D58" s="31"/>
      <c r="E58" s="26"/>
      <c r="F58" s="26"/>
      <c r="G58" s="28"/>
      <c r="H58" s="26"/>
      <c r="I58" s="26"/>
      <c r="J58" s="28"/>
      <c r="K58" s="29"/>
      <c r="L58" s="29"/>
      <c r="M58" s="29"/>
      <c r="N58" s="28"/>
      <c r="O58" s="28"/>
      <c r="P58" s="28"/>
      <c r="Q58" s="27"/>
      <c r="R58" s="28"/>
      <c r="S58" s="28"/>
      <c r="T58" s="27"/>
    </row>
    <row r="59" spans="1:20" x14ac:dyDescent="0.35">
      <c r="A59" s="28"/>
      <c r="B59" s="27"/>
      <c r="C59" s="26"/>
      <c r="D59" s="31"/>
      <c r="E59" s="26"/>
      <c r="F59" s="26"/>
      <c r="G59" s="28"/>
      <c r="H59" s="26"/>
      <c r="I59" s="26"/>
      <c r="J59" s="28"/>
      <c r="K59" s="29"/>
      <c r="L59" s="29"/>
      <c r="M59" s="29"/>
      <c r="N59" s="28"/>
      <c r="O59" s="28"/>
      <c r="P59" s="28"/>
      <c r="Q59" s="27"/>
      <c r="R59" s="28"/>
      <c r="S59" s="28"/>
      <c r="T59" s="27"/>
    </row>
    <row r="60" spans="1:20" x14ac:dyDescent="0.35">
      <c r="A60" s="28"/>
      <c r="B60" s="27"/>
      <c r="C60" s="26"/>
      <c r="D60" s="31"/>
      <c r="E60" s="26"/>
      <c r="F60" s="26"/>
      <c r="G60" s="28"/>
      <c r="H60" s="26"/>
      <c r="I60" s="26"/>
      <c r="J60" s="28"/>
      <c r="K60" s="29"/>
      <c r="L60" s="29"/>
      <c r="M60" s="29"/>
      <c r="N60" s="28"/>
      <c r="O60" s="28"/>
      <c r="P60" s="28"/>
      <c r="Q60" s="27"/>
      <c r="R60" s="28"/>
      <c r="S60" s="28"/>
      <c r="T60" s="27"/>
    </row>
    <row r="61" spans="1:20" x14ac:dyDescent="0.35">
      <c r="A61" s="28"/>
      <c r="B61" s="27"/>
      <c r="C61" s="26"/>
      <c r="D61" s="31"/>
      <c r="E61" s="26"/>
      <c r="F61" s="26"/>
      <c r="G61" s="28"/>
      <c r="H61" s="26"/>
      <c r="I61" s="26"/>
      <c r="J61" s="28"/>
      <c r="K61" s="29"/>
      <c r="L61" s="29"/>
      <c r="M61" s="29"/>
      <c r="N61" s="28"/>
      <c r="O61" s="28"/>
      <c r="P61" s="28"/>
      <c r="Q61" s="27"/>
      <c r="R61" s="28"/>
      <c r="S61" s="28"/>
      <c r="T61" s="27"/>
    </row>
    <row r="62" spans="1:20" x14ac:dyDescent="0.35">
      <c r="A62" s="28"/>
      <c r="B62" s="27"/>
      <c r="C62" s="26"/>
      <c r="D62" s="31"/>
      <c r="E62" s="26"/>
      <c r="F62" s="26"/>
      <c r="G62" s="28"/>
      <c r="H62" s="26"/>
      <c r="I62" s="26"/>
      <c r="J62" s="28"/>
      <c r="K62" s="29"/>
      <c r="L62" s="29"/>
      <c r="M62" s="29"/>
      <c r="N62" s="28"/>
      <c r="O62" s="28"/>
      <c r="P62" s="28"/>
      <c r="Q62" s="27"/>
      <c r="R62" s="28"/>
      <c r="S62" s="28"/>
      <c r="T62" s="27"/>
    </row>
    <row r="63" spans="1:20" x14ac:dyDescent="0.35">
      <c r="A63" s="28"/>
      <c r="B63" s="27"/>
      <c r="C63" s="26"/>
      <c r="D63" s="31"/>
      <c r="E63" s="26"/>
      <c r="F63" s="26"/>
      <c r="G63" s="28"/>
      <c r="H63" s="26"/>
      <c r="I63" s="26"/>
      <c r="J63" s="28"/>
      <c r="K63" s="29"/>
      <c r="L63" s="29"/>
      <c r="M63" s="29"/>
      <c r="N63" s="28"/>
      <c r="O63" s="28"/>
      <c r="P63" s="28"/>
      <c r="Q63" s="27"/>
      <c r="R63" s="28"/>
      <c r="S63" s="28"/>
      <c r="T63" s="27"/>
    </row>
    <row r="64" spans="1:20" x14ac:dyDescent="0.35">
      <c r="A64" s="28"/>
      <c r="B64" s="27"/>
      <c r="C64" s="26"/>
      <c r="D64" s="31"/>
      <c r="E64" s="26"/>
      <c r="F64" s="26"/>
      <c r="G64" s="28"/>
      <c r="H64" s="26"/>
      <c r="I64" s="26"/>
      <c r="J64" s="28"/>
      <c r="K64" s="29"/>
      <c r="L64" s="29"/>
      <c r="M64" s="29"/>
      <c r="N64" s="28"/>
      <c r="O64" s="28"/>
      <c r="P64" s="28"/>
      <c r="Q64" s="27"/>
      <c r="R64" s="28"/>
      <c r="S64" s="28"/>
      <c r="T64" s="27"/>
    </row>
    <row r="65" spans="1:20" x14ac:dyDescent="0.35">
      <c r="A65" s="28"/>
      <c r="B65" s="27"/>
      <c r="C65" s="26"/>
      <c r="D65" s="31"/>
      <c r="E65" s="26"/>
      <c r="F65" s="26"/>
      <c r="G65" s="28"/>
      <c r="H65" s="26"/>
      <c r="I65" s="26"/>
      <c r="J65" s="28"/>
      <c r="K65" s="29"/>
      <c r="L65" s="29"/>
      <c r="M65" s="29"/>
      <c r="N65" s="28"/>
      <c r="O65" s="28"/>
      <c r="P65" s="28"/>
      <c r="Q65" s="27"/>
      <c r="R65" s="28"/>
      <c r="S65" s="28"/>
      <c r="T65" s="27"/>
    </row>
    <row r="66" spans="1:20" x14ac:dyDescent="0.35">
      <c r="A66" s="28"/>
      <c r="B66" s="27"/>
      <c r="C66" s="26"/>
      <c r="D66" s="31"/>
      <c r="E66" s="26"/>
      <c r="F66" s="26"/>
      <c r="G66" s="28"/>
      <c r="H66" s="26"/>
      <c r="I66" s="26"/>
      <c r="J66" s="28"/>
      <c r="K66" s="29"/>
      <c r="L66" s="29"/>
      <c r="M66" s="29"/>
      <c r="N66" s="28"/>
      <c r="O66" s="28"/>
      <c r="P66" s="28"/>
      <c r="Q66" s="27"/>
      <c r="R66" s="28"/>
      <c r="S66" s="28"/>
      <c r="T66" s="27"/>
    </row>
    <row r="67" spans="1:20" x14ac:dyDescent="0.35">
      <c r="A67" s="28"/>
      <c r="B67" s="27"/>
      <c r="C67" s="26"/>
      <c r="D67" s="31"/>
      <c r="E67" s="26"/>
      <c r="F67" s="26"/>
      <c r="G67" s="28"/>
      <c r="H67" s="26"/>
      <c r="I67" s="26"/>
      <c r="J67" s="28"/>
      <c r="K67" s="29"/>
      <c r="L67" s="29"/>
      <c r="M67" s="29"/>
      <c r="N67" s="28"/>
      <c r="O67" s="28"/>
      <c r="P67" s="28"/>
      <c r="Q67" s="27"/>
      <c r="R67" s="28"/>
      <c r="S67" s="28"/>
      <c r="T67" s="27"/>
    </row>
    <row r="68" spans="1:20" x14ac:dyDescent="0.35">
      <c r="A68" s="28"/>
      <c r="B68" s="27"/>
      <c r="C68" s="26"/>
      <c r="D68" s="31"/>
      <c r="E68" s="26"/>
      <c r="F68" s="26"/>
      <c r="G68" s="28"/>
      <c r="H68" s="26"/>
      <c r="I68" s="26"/>
      <c r="J68" s="28"/>
      <c r="K68" s="29"/>
      <c r="L68" s="29"/>
      <c r="M68" s="29"/>
      <c r="N68" s="28"/>
      <c r="O68" s="28"/>
      <c r="P68" s="28"/>
      <c r="Q68" s="27"/>
      <c r="R68" s="28"/>
      <c r="S68" s="28"/>
      <c r="T68" s="27"/>
    </row>
    <row r="69" spans="1:20" x14ac:dyDescent="0.35">
      <c r="A69" s="28"/>
      <c r="B69" s="27"/>
      <c r="C69" s="26"/>
      <c r="D69" s="31"/>
      <c r="E69" s="26"/>
      <c r="F69" s="26"/>
      <c r="G69" s="28"/>
      <c r="H69" s="26"/>
      <c r="I69" s="26"/>
      <c r="J69" s="28"/>
      <c r="K69" s="29"/>
      <c r="L69" s="29"/>
      <c r="M69" s="29"/>
      <c r="N69" s="28"/>
      <c r="O69" s="28"/>
      <c r="P69" s="28"/>
      <c r="Q69" s="27"/>
      <c r="R69" s="28"/>
      <c r="S69" s="28"/>
      <c r="T69" s="27"/>
    </row>
    <row r="70" spans="1:20" x14ac:dyDescent="0.35">
      <c r="A70" s="28"/>
      <c r="B70" s="27"/>
      <c r="C70" s="26"/>
      <c r="D70" s="31"/>
      <c r="E70" s="26"/>
      <c r="F70" s="26"/>
      <c r="G70" s="28"/>
      <c r="H70" s="26"/>
      <c r="I70" s="26"/>
      <c r="J70" s="28"/>
      <c r="K70" s="29"/>
      <c r="L70" s="29"/>
      <c r="M70" s="29"/>
      <c r="N70" s="28"/>
      <c r="O70" s="28"/>
      <c r="P70" s="28"/>
      <c r="Q70" s="27"/>
      <c r="R70" s="28"/>
      <c r="S70" s="28"/>
      <c r="T70" s="27"/>
    </row>
    <row r="71" spans="1:20" x14ac:dyDescent="0.35">
      <c r="A71" s="28"/>
      <c r="B71" s="27"/>
      <c r="C71" s="26"/>
      <c r="D71" s="31"/>
      <c r="E71" s="26"/>
      <c r="F71" s="26"/>
      <c r="G71" s="28"/>
      <c r="H71" s="26"/>
      <c r="I71" s="26"/>
      <c r="J71" s="28"/>
      <c r="K71" s="29"/>
      <c r="L71" s="29"/>
      <c r="M71" s="29"/>
      <c r="N71" s="28"/>
      <c r="O71" s="28"/>
      <c r="P71" s="28"/>
      <c r="Q71" s="27"/>
      <c r="R71" s="28"/>
      <c r="S71" s="28"/>
      <c r="T71" s="27"/>
    </row>
    <row r="72" spans="1:20" x14ac:dyDescent="0.35">
      <c r="A72" s="28"/>
      <c r="B72" s="27"/>
      <c r="C72" s="26"/>
      <c r="D72" s="31"/>
      <c r="E72" s="26"/>
      <c r="F72" s="26"/>
      <c r="G72" s="28"/>
      <c r="H72" s="26"/>
      <c r="I72" s="26"/>
      <c r="J72" s="28"/>
      <c r="K72" s="29"/>
      <c r="L72" s="29"/>
      <c r="M72" s="29"/>
      <c r="N72" s="28"/>
      <c r="O72" s="28"/>
      <c r="P72" s="28"/>
      <c r="Q72" s="27"/>
      <c r="R72" s="28"/>
      <c r="S72" s="28"/>
      <c r="T72" s="27"/>
    </row>
    <row r="73" spans="1:20" x14ac:dyDescent="0.35">
      <c r="A73" s="28"/>
      <c r="B73" s="27"/>
      <c r="C73" s="26"/>
      <c r="D73" s="31"/>
      <c r="E73" s="26"/>
      <c r="F73" s="26"/>
      <c r="G73" s="28"/>
      <c r="H73" s="26"/>
      <c r="I73" s="26"/>
      <c r="J73" s="28"/>
      <c r="K73" s="29"/>
      <c r="L73" s="29"/>
      <c r="M73" s="29"/>
      <c r="N73" s="28"/>
      <c r="O73" s="28"/>
      <c r="P73" s="28"/>
      <c r="Q73" s="27"/>
      <c r="R73" s="28"/>
      <c r="S73" s="28"/>
      <c r="T73" s="27"/>
    </row>
    <row r="74" spans="1:20" x14ac:dyDescent="0.35">
      <c r="A74" s="28"/>
      <c r="B74" s="27"/>
      <c r="C74" s="26"/>
      <c r="D74" s="31"/>
      <c r="E74" s="26"/>
      <c r="F74" s="26"/>
      <c r="G74" s="28"/>
      <c r="H74" s="26"/>
      <c r="I74" s="26"/>
      <c r="J74" s="28"/>
      <c r="K74" s="29"/>
      <c r="L74" s="29"/>
      <c r="M74" s="29"/>
      <c r="N74" s="28"/>
      <c r="O74" s="28"/>
      <c r="P74" s="28"/>
      <c r="Q74" s="27"/>
      <c r="R74" s="28"/>
      <c r="S74" s="28"/>
      <c r="T74" s="27"/>
    </row>
    <row r="75" spans="1:20" x14ac:dyDescent="0.35">
      <c r="A75" s="28"/>
      <c r="B75" s="27"/>
      <c r="C75" s="26"/>
      <c r="D75" s="31"/>
      <c r="E75" s="26"/>
      <c r="F75" s="26"/>
      <c r="G75" s="28"/>
      <c r="H75" s="26"/>
      <c r="I75" s="26"/>
      <c r="J75" s="28"/>
      <c r="K75" s="29"/>
      <c r="L75" s="29"/>
      <c r="M75" s="29"/>
      <c r="N75" s="28"/>
      <c r="O75" s="28"/>
      <c r="P75" s="28"/>
      <c r="Q75" s="27"/>
      <c r="R75" s="28"/>
      <c r="S75" s="28"/>
      <c r="T75" s="27"/>
    </row>
    <row r="76" spans="1:20" x14ac:dyDescent="0.35">
      <c r="A76" s="28"/>
      <c r="B76" s="27"/>
      <c r="C76" s="26"/>
      <c r="D76" s="31"/>
      <c r="E76" s="26"/>
      <c r="F76" s="26"/>
      <c r="G76" s="28"/>
      <c r="H76" s="26"/>
      <c r="I76" s="26"/>
      <c r="J76" s="28"/>
      <c r="K76" s="29"/>
      <c r="L76" s="29"/>
      <c r="M76" s="29"/>
      <c r="N76" s="28"/>
      <c r="O76" s="28"/>
      <c r="P76" s="28"/>
      <c r="Q76" s="27"/>
      <c r="R76" s="28"/>
      <c r="S76" s="28"/>
      <c r="T76" s="27"/>
    </row>
    <row r="77" spans="1:20" x14ac:dyDescent="0.35">
      <c r="A77" s="28"/>
      <c r="B77" s="27"/>
      <c r="C77" s="26"/>
      <c r="D77" s="31"/>
      <c r="E77" s="26"/>
      <c r="F77" s="26"/>
      <c r="G77" s="28"/>
      <c r="H77" s="26"/>
      <c r="I77" s="26"/>
      <c r="J77" s="28"/>
      <c r="K77" s="29"/>
      <c r="L77" s="29"/>
      <c r="M77" s="29"/>
      <c r="N77" s="28"/>
      <c r="O77" s="28"/>
      <c r="P77" s="28"/>
      <c r="Q77" s="27"/>
      <c r="R77" s="28"/>
      <c r="S77" s="28"/>
      <c r="T77" s="27"/>
    </row>
    <row r="78" spans="1:20" x14ac:dyDescent="0.35">
      <c r="A78" s="28"/>
      <c r="B78" s="27"/>
      <c r="C78" s="26"/>
      <c r="D78" s="31"/>
      <c r="E78" s="26"/>
      <c r="F78" s="26"/>
      <c r="G78" s="28"/>
      <c r="H78" s="26"/>
      <c r="I78" s="26"/>
      <c r="J78" s="28"/>
      <c r="K78" s="29"/>
      <c r="L78" s="29"/>
      <c r="M78" s="29"/>
      <c r="N78" s="28"/>
      <c r="O78" s="28"/>
      <c r="P78" s="28"/>
      <c r="Q78" s="27"/>
      <c r="R78" s="28"/>
      <c r="S78" s="28"/>
      <c r="T78" s="27"/>
    </row>
    <row r="79" spans="1:20" x14ac:dyDescent="0.35">
      <c r="A79" s="28"/>
      <c r="B79" s="27"/>
      <c r="C79" s="26"/>
      <c r="D79" s="31"/>
      <c r="E79" s="26"/>
      <c r="F79" s="26"/>
      <c r="G79" s="28"/>
      <c r="H79" s="26"/>
      <c r="I79" s="26"/>
      <c r="J79" s="28"/>
      <c r="K79" s="29"/>
      <c r="L79" s="29"/>
      <c r="M79" s="29"/>
      <c r="N79" s="28"/>
      <c r="O79" s="28"/>
      <c r="P79" s="28"/>
      <c r="Q79" s="27"/>
      <c r="R79" s="28"/>
      <c r="S79" s="28"/>
      <c r="T79" s="27"/>
    </row>
    <row r="80" spans="1:20" x14ac:dyDescent="0.35">
      <c r="A80" s="28"/>
      <c r="B80" s="27"/>
      <c r="C80" s="26"/>
      <c r="D80" s="31"/>
      <c r="E80" s="26"/>
      <c r="F80" s="26"/>
      <c r="G80" s="28"/>
      <c r="H80" s="26"/>
      <c r="I80" s="26"/>
      <c r="J80" s="28"/>
      <c r="K80" s="29"/>
      <c r="L80" s="29"/>
      <c r="M80" s="29"/>
      <c r="N80" s="28"/>
      <c r="O80" s="28"/>
      <c r="P80" s="28"/>
      <c r="Q80" s="27"/>
      <c r="R80" s="28"/>
      <c r="S80" s="28"/>
      <c r="T80" s="27"/>
    </row>
    <row r="81" spans="1:20" x14ac:dyDescent="0.35">
      <c r="A81" s="28"/>
      <c r="B81" s="27"/>
      <c r="C81" s="26"/>
      <c r="D81" s="31"/>
      <c r="E81" s="26"/>
      <c r="F81" s="26"/>
      <c r="G81" s="28"/>
      <c r="H81" s="26"/>
      <c r="I81" s="26"/>
      <c r="J81" s="28"/>
      <c r="K81" s="29"/>
      <c r="L81" s="29"/>
      <c r="M81" s="29"/>
      <c r="N81" s="28"/>
      <c r="O81" s="28"/>
      <c r="P81" s="28"/>
      <c r="Q81" s="27"/>
      <c r="R81" s="28"/>
      <c r="S81" s="28"/>
      <c r="T81" s="27"/>
    </row>
    <row r="82" spans="1:20" x14ac:dyDescent="0.35">
      <c r="A82" s="28"/>
      <c r="B82" s="24"/>
      <c r="C82" s="25"/>
      <c r="D82" s="31"/>
      <c r="E82" s="25"/>
      <c r="F82" s="25"/>
      <c r="G82" s="28"/>
      <c r="H82" s="25"/>
      <c r="I82" s="25"/>
      <c r="J82" s="28"/>
      <c r="K82" s="29"/>
      <c r="L82" s="29"/>
      <c r="M82" s="29"/>
      <c r="N82" s="28"/>
      <c r="O82" s="28"/>
      <c r="P82" s="28"/>
      <c r="Q82" s="27"/>
      <c r="R82" s="28"/>
      <c r="S82" s="28"/>
      <c r="T82" s="27"/>
    </row>
    <row r="83" spans="1:20" x14ac:dyDescent="0.35">
      <c r="A83" s="28"/>
      <c r="B83" s="24"/>
      <c r="C83" s="25"/>
      <c r="D83" s="31"/>
      <c r="E83" s="25"/>
      <c r="F83" s="25"/>
      <c r="G83" s="28"/>
      <c r="H83" s="25"/>
      <c r="I83" s="25"/>
      <c r="J83" s="28"/>
      <c r="K83" s="29"/>
      <c r="L83" s="29"/>
      <c r="M83" s="29"/>
      <c r="N83" s="28"/>
      <c r="O83" s="28"/>
      <c r="P83" s="28"/>
      <c r="Q83" s="27"/>
      <c r="R83" s="28"/>
      <c r="S83" s="28"/>
      <c r="T83" s="27"/>
    </row>
    <row r="84" spans="1:20" x14ac:dyDescent="0.35">
      <c r="A84" s="28"/>
      <c r="B84" s="24"/>
      <c r="C84" s="25"/>
      <c r="D84" s="31"/>
      <c r="E84" s="25"/>
      <c r="F84" s="25"/>
      <c r="G84" s="28"/>
      <c r="H84" s="25"/>
      <c r="I84" s="25"/>
      <c r="J84" s="28"/>
      <c r="K84" s="29"/>
      <c r="L84" s="29"/>
      <c r="M84" s="29"/>
      <c r="N84" s="28"/>
      <c r="O84" s="28"/>
      <c r="P84" s="28"/>
      <c r="Q84" s="27"/>
      <c r="R84" s="28"/>
      <c r="S84" s="28"/>
      <c r="T84" s="27"/>
    </row>
    <row r="85" spans="1:20" x14ac:dyDescent="0.35">
      <c r="A85" s="28"/>
      <c r="B85" s="24"/>
      <c r="C85" s="25"/>
      <c r="D85" s="31"/>
      <c r="E85" s="25"/>
      <c r="F85" s="25"/>
      <c r="G85" s="28"/>
      <c r="H85" s="25"/>
      <c r="I85" s="25"/>
      <c r="J85" s="28"/>
      <c r="K85" s="29"/>
      <c r="L85" s="29"/>
      <c r="M85" s="29"/>
      <c r="N85" s="28"/>
      <c r="O85" s="28"/>
      <c r="P85" s="28"/>
      <c r="Q85" s="27"/>
      <c r="R85" s="28"/>
      <c r="S85" s="28"/>
      <c r="T85" s="27"/>
    </row>
    <row r="86" spans="1:20" x14ac:dyDescent="0.35">
      <c r="A86" s="28"/>
      <c r="B86" s="24"/>
      <c r="C86" s="25"/>
      <c r="D86" s="31"/>
      <c r="E86" s="25"/>
      <c r="F86" s="25"/>
      <c r="G86" s="28"/>
      <c r="H86" s="25"/>
      <c r="I86" s="25"/>
      <c r="J86" s="28"/>
      <c r="K86" s="29"/>
      <c r="L86" s="29"/>
      <c r="M86" s="29"/>
      <c r="N86" s="28"/>
      <c r="O86" s="28"/>
      <c r="P86" s="28"/>
      <c r="Q86" s="27"/>
      <c r="R86" s="28"/>
      <c r="S86" s="28"/>
      <c r="T86" s="27"/>
    </row>
    <row r="87" spans="1:20" x14ac:dyDescent="0.35">
      <c r="A87" s="28"/>
      <c r="B87" s="24"/>
      <c r="C87" s="25"/>
      <c r="D87" s="31"/>
      <c r="E87" s="25"/>
      <c r="F87" s="25"/>
      <c r="G87" s="28"/>
      <c r="H87" s="25"/>
      <c r="I87" s="25"/>
      <c r="J87" s="28"/>
      <c r="K87" s="29"/>
      <c r="L87" s="29"/>
      <c r="M87" s="29"/>
      <c r="N87" s="28"/>
      <c r="O87" s="28"/>
      <c r="P87" s="28"/>
      <c r="Q87" s="27"/>
      <c r="R87" s="28"/>
      <c r="S87" s="28"/>
      <c r="T87" s="27"/>
    </row>
    <row r="88" spans="1:20" x14ac:dyDescent="0.35">
      <c r="A88" s="28"/>
      <c r="B88" s="24"/>
      <c r="C88" s="25"/>
      <c r="D88" s="31"/>
      <c r="E88" s="25"/>
      <c r="F88" s="25"/>
      <c r="G88" s="28"/>
      <c r="H88" s="25"/>
      <c r="I88" s="25"/>
      <c r="J88" s="28"/>
      <c r="K88" s="29"/>
      <c r="L88" s="29"/>
      <c r="M88" s="29"/>
      <c r="N88" s="28"/>
      <c r="O88" s="28"/>
      <c r="P88" s="28"/>
      <c r="Q88" s="27"/>
      <c r="R88" s="28"/>
      <c r="S88" s="28"/>
      <c r="T88" s="27"/>
    </row>
    <row r="89" spans="1:20" x14ac:dyDescent="0.35">
      <c r="A89" s="28"/>
      <c r="B89" s="24"/>
      <c r="C89" s="25"/>
      <c r="D89" s="31"/>
      <c r="E89" s="25"/>
      <c r="F89" s="25"/>
      <c r="G89" s="28"/>
      <c r="H89" s="25"/>
      <c r="I89" s="25"/>
      <c r="J89" s="28"/>
      <c r="K89" s="29"/>
      <c r="L89" s="29"/>
      <c r="M89" s="29"/>
      <c r="N89" s="28"/>
      <c r="O89" s="28"/>
      <c r="P89" s="28"/>
      <c r="Q89" s="27"/>
      <c r="R89" s="28"/>
      <c r="S89" s="28"/>
      <c r="T89" s="27"/>
    </row>
    <row r="90" spans="1:20" x14ac:dyDescent="0.35">
      <c r="A90" s="28"/>
      <c r="B90" s="24"/>
      <c r="C90" s="25"/>
      <c r="D90" s="31"/>
      <c r="E90" s="25"/>
      <c r="F90" s="25"/>
      <c r="G90" s="28"/>
      <c r="H90" s="25"/>
      <c r="I90" s="25"/>
      <c r="J90" s="28"/>
      <c r="K90" s="29"/>
      <c r="L90" s="29"/>
      <c r="M90" s="29"/>
      <c r="N90" s="28"/>
      <c r="O90" s="28"/>
      <c r="P90" s="28"/>
      <c r="Q90" s="27"/>
      <c r="R90" s="28"/>
      <c r="S90" s="28"/>
      <c r="T90" s="27"/>
    </row>
    <row r="91" spans="1:20" x14ac:dyDescent="0.35">
      <c r="A91" s="28"/>
      <c r="B91" s="24"/>
      <c r="C91" s="25"/>
      <c r="D91" s="31"/>
      <c r="E91" s="25"/>
      <c r="F91" s="25"/>
      <c r="G91" s="28"/>
      <c r="H91" s="25"/>
      <c r="I91" s="25"/>
      <c r="J91" s="28"/>
      <c r="K91" s="29"/>
      <c r="L91" s="29"/>
      <c r="M91" s="29"/>
      <c r="N91" s="28"/>
      <c r="O91" s="28"/>
      <c r="P91" s="28"/>
      <c r="Q91" s="27"/>
      <c r="R91" s="28"/>
      <c r="S91" s="28"/>
      <c r="T91" s="27"/>
    </row>
    <row r="92" spans="1:20" x14ac:dyDescent="0.35">
      <c r="A92" s="28"/>
      <c r="B92" s="24"/>
      <c r="C92" s="25"/>
      <c r="D92" s="31"/>
      <c r="E92" s="25"/>
      <c r="F92" s="25"/>
      <c r="G92" s="28"/>
      <c r="H92" s="25"/>
      <c r="I92" s="25"/>
      <c r="J92" s="28"/>
      <c r="K92" s="29"/>
      <c r="L92" s="29"/>
      <c r="M92" s="29"/>
      <c r="N92" s="28"/>
      <c r="O92" s="28"/>
      <c r="P92" s="28"/>
      <c r="Q92" s="27"/>
      <c r="R92" s="28"/>
      <c r="S92" s="28"/>
      <c r="T92" s="27"/>
    </row>
    <row r="93" spans="1:20" x14ac:dyDescent="0.35">
      <c r="A93" s="28"/>
      <c r="B93" s="24"/>
      <c r="C93" s="25"/>
      <c r="D93" s="31"/>
      <c r="E93" s="25"/>
      <c r="F93" s="25"/>
      <c r="G93" s="28"/>
      <c r="H93" s="25"/>
      <c r="I93" s="25"/>
      <c r="J93" s="28"/>
      <c r="K93" s="29"/>
      <c r="L93" s="29"/>
      <c r="M93" s="29"/>
      <c r="N93" s="28"/>
      <c r="O93" s="28"/>
      <c r="P93" s="28"/>
      <c r="Q93" s="27"/>
      <c r="R93" s="28"/>
      <c r="S93" s="28"/>
      <c r="T93" s="27"/>
    </row>
    <row r="94" spans="1:20" x14ac:dyDescent="0.35">
      <c r="A94" s="28"/>
      <c r="B94" s="24"/>
      <c r="C94" s="25"/>
      <c r="D94" s="31"/>
      <c r="E94" s="25"/>
      <c r="F94" s="25"/>
      <c r="G94" s="28"/>
      <c r="H94" s="25"/>
      <c r="I94" s="25"/>
      <c r="J94" s="28"/>
      <c r="K94" s="29"/>
      <c r="L94" s="29"/>
      <c r="M94" s="29"/>
      <c r="N94" s="28"/>
      <c r="O94" s="28"/>
      <c r="P94" s="28"/>
      <c r="Q94" s="27"/>
      <c r="R94" s="28"/>
      <c r="S94" s="28"/>
      <c r="T94" s="27"/>
    </row>
    <row r="95" spans="1:20" x14ac:dyDescent="0.35">
      <c r="A95" s="28"/>
      <c r="B95" s="24"/>
      <c r="C95" s="25"/>
      <c r="D95" s="31"/>
      <c r="E95" s="25"/>
      <c r="F95" s="25"/>
      <c r="G95" s="28"/>
      <c r="H95" s="25"/>
      <c r="I95" s="25"/>
      <c r="J95" s="28"/>
      <c r="K95" s="29"/>
      <c r="L95" s="29"/>
      <c r="M95" s="29"/>
      <c r="N95" s="28"/>
      <c r="O95" s="28"/>
      <c r="P95" s="28"/>
      <c r="Q95" s="27"/>
      <c r="R95" s="28"/>
      <c r="S95" s="28"/>
      <c r="T95" s="27"/>
    </row>
    <row r="96" spans="1:20" x14ac:dyDescent="0.35">
      <c r="A96" s="28"/>
      <c r="B96" s="24"/>
      <c r="C96" s="25"/>
      <c r="D96" s="31"/>
      <c r="E96" s="25"/>
      <c r="F96" s="25"/>
      <c r="G96" s="28"/>
      <c r="H96" s="25"/>
      <c r="I96" s="25"/>
      <c r="J96" s="28"/>
      <c r="K96" s="29"/>
      <c r="L96" s="29"/>
      <c r="M96" s="29"/>
      <c r="N96" s="28"/>
      <c r="O96" s="28"/>
      <c r="P96" s="28"/>
      <c r="Q96" s="27"/>
      <c r="R96" s="28"/>
      <c r="S96" s="28"/>
      <c r="T96" s="27"/>
    </row>
    <row r="97" spans="1:20" x14ac:dyDescent="0.35">
      <c r="A97" s="28"/>
      <c r="B97" s="24"/>
      <c r="C97" s="25"/>
      <c r="D97" s="31"/>
      <c r="E97" s="25"/>
      <c r="F97" s="25"/>
      <c r="G97" s="28"/>
      <c r="H97" s="25"/>
      <c r="I97" s="25"/>
      <c r="J97" s="28"/>
      <c r="K97" s="29"/>
      <c r="L97" s="29"/>
      <c r="M97" s="29"/>
      <c r="N97" s="28"/>
      <c r="O97" s="28"/>
      <c r="P97" s="28"/>
      <c r="Q97" s="27"/>
      <c r="R97" s="28"/>
      <c r="S97" s="28"/>
      <c r="T97" s="27"/>
    </row>
    <row r="98" spans="1:20" x14ac:dyDescent="0.35">
      <c r="A98" s="28"/>
      <c r="B98" s="24"/>
      <c r="C98" s="25"/>
      <c r="D98" s="31"/>
      <c r="E98" s="25"/>
      <c r="F98" s="25"/>
      <c r="G98" s="28"/>
      <c r="H98" s="25"/>
      <c r="I98" s="25"/>
      <c r="J98" s="28"/>
      <c r="K98" s="29"/>
      <c r="L98" s="29"/>
      <c r="M98" s="29"/>
      <c r="N98" s="28"/>
      <c r="O98" s="28"/>
      <c r="P98" s="28"/>
      <c r="Q98" s="27"/>
      <c r="R98" s="28"/>
      <c r="S98" s="28"/>
      <c r="T98" s="27"/>
    </row>
    <row r="99" spans="1:20" x14ac:dyDescent="0.35">
      <c r="A99" s="28"/>
      <c r="B99" s="24"/>
      <c r="C99" s="25"/>
      <c r="D99" s="31"/>
      <c r="E99" s="25"/>
      <c r="F99" s="25"/>
      <c r="G99" s="28"/>
      <c r="H99" s="25"/>
      <c r="I99" s="25"/>
      <c r="J99" s="28"/>
      <c r="K99" s="29"/>
      <c r="L99" s="29"/>
      <c r="M99" s="29"/>
      <c r="N99" s="28"/>
      <c r="O99" s="28"/>
      <c r="P99" s="28"/>
      <c r="Q99" s="27"/>
      <c r="R99" s="28"/>
      <c r="S99" s="28"/>
      <c r="T99" s="27"/>
    </row>
    <row r="100" spans="1:20" x14ac:dyDescent="0.35">
      <c r="A100" s="28"/>
      <c r="B100" s="24"/>
      <c r="C100" s="25"/>
      <c r="D100" s="31"/>
      <c r="E100" s="25"/>
      <c r="F100" s="25"/>
      <c r="G100" s="28"/>
      <c r="H100" s="25"/>
      <c r="I100" s="25"/>
      <c r="J100" s="28"/>
      <c r="K100" s="29"/>
      <c r="L100" s="29"/>
      <c r="M100" s="29"/>
      <c r="N100" s="28"/>
      <c r="O100" s="28"/>
      <c r="P100" s="28"/>
      <c r="Q100" s="27"/>
      <c r="R100" s="28"/>
      <c r="S100" s="28"/>
      <c r="T100" s="27"/>
    </row>
    <row r="101" spans="1:20" x14ac:dyDescent="0.35">
      <c r="A101" s="28"/>
      <c r="B101" s="24"/>
      <c r="C101" s="25"/>
      <c r="D101" s="31"/>
      <c r="E101" s="25"/>
      <c r="F101" s="25"/>
      <c r="G101" s="28"/>
      <c r="H101" s="25"/>
      <c r="I101" s="25"/>
      <c r="J101" s="28"/>
      <c r="K101" s="29"/>
      <c r="L101" s="29"/>
      <c r="M101" s="29"/>
      <c r="N101" s="28"/>
      <c r="O101" s="28"/>
      <c r="P101" s="28"/>
      <c r="Q101" s="27"/>
      <c r="R101" s="28"/>
      <c r="S101" s="28"/>
      <c r="T101" s="27"/>
    </row>
    <row r="102" spans="1:20" x14ac:dyDescent="0.35">
      <c r="A102" s="28"/>
      <c r="B102" s="24"/>
      <c r="C102" s="25"/>
      <c r="D102" s="31"/>
      <c r="E102" s="25"/>
      <c r="F102" s="25"/>
      <c r="G102" s="28"/>
      <c r="H102" s="25"/>
      <c r="I102" s="25"/>
      <c r="J102" s="28"/>
      <c r="K102" s="29"/>
      <c r="L102" s="29"/>
      <c r="M102" s="29"/>
      <c r="N102" s="28"/>
      <c r="O102" s="28"/>
      <c r="P102" s="28"/>
      <c r="Q102" s="27"/>
      <c r="R102" s="28"/>
      <c r="S102" s="28"/>
      <c r="T102" s="27"/>
    </row>
    <row r="103" spans="1:20" x14ac:dyDescent="0.35">
      <c r="A103" s="28"/>
      <c r="B103" s="24"/>
      <c r="C103" s="25"/>
      <c r="D103" s="31"/>
      <c r="E103" s="25"/>
      <c r="F103" s="25"/>
      <c r="G103" s="28"/>
      <c r="H103" s="25"/>
      <c r="I103" s="25"/>
      <c r="J103" s="28"/>
      <c r="K103" s="29"/>
      <c r="L103" s="29"/>
      <c r="M103" s="29"/>
      <c r="N103" s="28"/>
      <c r="O103" s="28"/>
      <c r="P103" s="28"/>
      <c r="Q103" s="27"/>
      <c r="R103" s="28"/>
      <c r="S103" s="28"/>
      <c r="T103" s="27"/>
    </row>
    <row r="104" spans="1:20" x14ac:dyDescent="0.35">
      <c r="A104" s="28"/>
      <c r="B104" s="24"/>
      <c r="C104" s="25"/>
      <c r="D104" s="31"/>
      <c r="E104" s="25"/>
      <c r="F104" s="25"/>
      <c r="G104" s="28"/>
      <c r="H104" s="25"/>
      <c r="I104" s="25"/>
      <c r="J104" s="28"/>
      <c r="K104" s="29"/>
      <c r="L104" s="29"/>
      <c r="M104" s="29"/>
      <c r="N104" s="28"/>
      <c r="O104" s="28"/>
      <c r="P104" s="28"/>
      <c r="Q104" s="27"/>
      <c r="R104" s="28"/>
      <c r="S104" s="28"/>
      <c r="T104" s="27"/>
    </row>
    <row r="105" spans="1:20" x14ac:dyDescent="0.35">
      <c r="A105" s="28"/>
      <c r="B105" s="24"/>
      <c r="C105" s="25"/>
      <c r="D105" s="31"/>
      <c r="E105" s="25"/>
      <c r="F105" s="25"/>
      <c r="G105" s="28"/>
      <c r="H105" s="25"/>
      <c r="I105" s="25"/>
      <c r="J105" s="28"/>
      <c r="K105" s="29"/>
      <c r="L105" s="29"/>
      <c r="M105" s="29"/>
      <c r="N105" s="28"/>
      <c r="O105" s="28"/>
      <c r="P105" s="28"/>
      <c r="Q105" s="27"/>
      <c r="R105" s="28"/>
      <c r="S105" s="28"/>
      <c r="T105" s="27"/>
    </row>
    <row r="106" spans="1:20" x14ac:dyDescent="0.35">
      <c r="A106" s="28"/>
      <c r="B106" s="24"/>
      <c r="C106" s="25"/>
      <c r="D106" s="31"/>
      <c r="E106" s="25"/>
      <c r="F106" s="25"/>
      <c r="G106" s="28"/>
      <c r="H106" s="25"/>
      <c r="I106" s="25"/>
      <c r="J106" s="28"/>
      <c r="K106" s="29"/>
      <c r="L106" s="29"/>
      <c r="M106" s="29"/>
      <c r="N106" s="28"/>
      <c r="O106" s="28"/>
      <c r="P106" s="28"/>
      <c r="Q106" s="27"/>
      <c r="R106" s="28"/>
      <c r="S106" s="28"/>
      <c r="T106" s="27"/>
    </row>
    <row r="107" spans="1:20" x14ac:dyDescent="0.35">
      <c r="A107" s="28"/>
      <c r="B107" s="24"/>
      <c r="C107" s="25"/>
      <c r="D107" s="31"/>
      <c r="E107" s="25"/>
      <c r="F107" s="25"/>
      <c r="G107" s="28"/>
      <c r="H107" s="25"/>
      <c r="I107" s="25"/>
      <c r="J107" s="28"/>
      <c r="K107" s="29"/>
      <c r="L107" s="29"/>
      <c r="M107" s="29"/>
      <c r="N107" s="28"/>
      <c r="O107" s="28"/>
      <c r="P107" s="28"/>
      <c r="Q107" s="27"/>
      <c r="R107" s="28"/>
      <c r="S107" s="28"/>
      <c r="T107" s="27"/>
    </row>
    <row r="108" spans="1:20" x14ac:dyDescent="0.35">
      <c r="A108" s="28"/>
      <c r="B108" s="24"/>
      <c r="C108" s="25"/>
      <c r="D108" s="31"/>
      <c r="E108" s="25"/>
      <c r="F108" s="25"/>
      <c r="G108" s="28"/>
      <c r="H108" s="25"/>
      <c r="I108" s="25"/>
      <c r="J108" s="28"/>
      <c r="K108" s="29"/>
      <c r="L108" s="29"/>
      <c r="M108" s="29"/>
      <c r="N108" s="28"/>
      <c r="O108" s="28"/>
      <c r="P108" s="28"/>
      <c r="Q108" s="27"/>
      <c r="R108" s="28"/>
      <c r="S108" s="28"/>
      <c r="T108" s="27"/>
    </row>
    <row r="109" spans="1:20" x14ac:dyDescent="0.35">
      <c r="A109" s="28"/>
      <c r="B109" s="24"/>
      <c r="C109" s="25"/>
      <c r="D109" s="31"/>
      <c r="E109" s="25"/>
      <c r="F109" s="25"/>
      <c r="G109" s="28"/>
      <c r="H109" s="25"/>
      <c r="I109" s="25"/>
      <c r="J109" s="28"/>
      <c r="K109" s="29"/>
      <c r="L109" s="29"/>
      <c r="M109" s="29"/>
      <c r="N109" s="28"/>
      <c r="O109" s="28"/>
      <c r="P109" s="28"/>
      <c r="Q109" s="27"/>
      <c r="R109" s="28"/>
      <c r="S109" s="28"/>
      <c r="T109" s="27"/>
    </row>
    <row r="110" spans="1:20" x14ac:dyDescent="0.35">
      <c r="A110" s="28"/>
      <c r="B110" s="24"/>
      <c r="C110" s="25"/>
      <c r="D110" s="31"/>
      <c r="E110" s="25"/>
      <c r="F110" s="25"/>
      <c r="G110" s="28"/>
      <c r="H110" s="25"/>
      <c r="I110" s="25"/>
      <c r="J110" s="28"/>
      <c r="K110" s="29"/>
      <c r="L110" s="29"/>
      <c r="M110" s="29"/>
      <c r="N110" s="28"/>
      <c r="O110" s="28"/>
      <c r="P110" s="28"/>
      <c r="Q110" s="27"/>
      <c r="R110" s="28"/>
      <c r="S110" s="28"/>
      <c r="T110" s="27"/>
    </row>
    <row r="111" spans="1:20" x14ac:dyDescent="0.35">
      <c r="A111" s="28"/>
      <c r="B111" s="24"/>
      <c r="C111" s="25"/>
      <c r="D111" s="31"/>
      <c r="E111" s="25"/>
      <c r="F111" s="25"/>
      <c r="G111" s="28"/>
      <c r="H111" s="25"/>
      <c r="I111" s="25"/>
      <c r="J111" s="28"/>
      <c r="K111" s="29"/>
      <c r="L111" s="29"/>
      <c r="M111" s="29"/>
      <c r="N111" s="28"/>
      <c r="O111" s="28"/>
      <c r="P111" s="28"/>
      <c r="Q111" s="27"/>
      <c r="R111" s="28"/>
      <c r="S111" s="28"/>
      <c r="T111" s="27"/>
    </row>
    <row r="112" spans="1:20" x14ac:dyDescent="0.35">
      <c r="A112" s="28"/>
      <c r="B112" s="24"/>
      <c r="C112" s="25"/>
      <c r="D112" s="31"/>
      <c r="E112" s="25"/>
      <c r="F112" s="25"/>
      <c r="G112" s="28"/>
      <c r="H112" s="25"/>
      <c r="I112" s="25"/>
      <c r="J112" s="28"/>
      <c r="K112" s="29"/>
      <c r="L112" s="29"/>
      <c r="M112" s="29"/>
      <c r="N112" s="28"/>
      <c r="O112" s="28"/>
      <c r="P112" s="28"/>
      <c r="Q112" s="27"/>
      <c r="R112" s="28"/>
      <c r="S112" s="28"/>
      <c r="T112" s="27"/>
    </row>
    <row r="113" spans="1:20" x14ac:dyDescent="0.35">
      <c r="A113" s="28"/>
      <c r="B113" s="24"/>
      <c r="C113" s="25"/>
      <c r="D113" s="31"/>
      <c r="E113" s="25"/>
      <c r="F113" s="25"/>
      <c r="G113" s="28"/>
      <c r="H113" s="25"/>
      <c r="I113" s="25"/>
      <c r="J113" s="28"/>
      <c r="K113" s="29"/>
      <c r="L113" s="29"/>
      <c r="M113" s="29"/>
      <c r="N113" s="28"/>
      <c r="O113" s="28"/>
      <c r="P113" s="28"/>
      <c r="Q113" s="27"/>
      <c r="R113" s="28"/>
      <c r="S113" s="28"/>
      <c r="T113" s="27"/>
    </row>
    <row r="114" spans="1:20" x14ac:dyDescent="0.35">
      <c r="A114" s="28"/>
      <c r="B114" s="24"/>
      <c r="C114" s="25"/>
      <c r="D114" s="31"/>
      <c r="E114" s="25"/>
      <c r="F114" s="25"/>
      <c r="G114" s="28"/>
      <c r="H114" s="25"/>
      <c r="I114" s="25"/>
      <c r="J114" s="28"/>
      <c r="K114" s="29"/>
      <c r="L114" s="29"/>
      <c r="M114" s="29"/>
      <c r="N114" s="28"/>
      <c r="O114" s="28"/>
      <c r="P114" s="28"/>
      <c r="Q114" s="27"/>
      <c r="R114" s="28"/>
      <c r="S114" s="28"/>
      <c r="T114" s="27"/>
    </row>
    <row r="115" spans="1:20" x14ac:dyDescent="0.35">
      <c r="A115" s="28"/>
      <c r="B115" s="24"/>
      <c r="C115" s="25"/>
      <c r="D115" s="31"/>
      <c r="E115" s="25"/>
      <c r="F115" s="25"/>
      <c r="G115" s="28"/>
      <c r="H115" s="25"/>
      <c r="I115" s="25"/>
      <c r="J115" s="28"/>
      <c r="K115" s="29"/>
      <c r="L115" s="29"/>
      <c r="M115" s="29"/>
      <c r="N115" s="28"/>
      <c r="O115" s="28"/>
      <c r="P115" s="28"/>
      <c r="Q115" s="27"/>
      <c r="R115" s="28"/>
      <c r="S115" s="28"/>
      <c r="T115" s="27"/>
    </row>
    <row r="116" spans="1:20" x14ac:dyDescent="0.35">
      <c r="A116" s="28"/>
      <c r="B116" s="24"/>
      <c r="C116" s="25"/>
      <c r="D116" s="31"/>
      <c r="E116" s="25"/>
      <c r="F116" s="25"/>
      <c r="G116" s="28"/>
      <c r="H116" s="25"/>
      <c r="I116" s="25"/>
      <c r="J116" s="28"/>
      <c r="K116" s="29"/>
      <c r="L116" s="29"/>
      <c r="M116" s="29"/>
      <c r="N116" s="28"/>
      <c r="O116" s="28"/>
      <c r="P116" s="28"/>
      <c r="Q116" s="27"/>
      <c r="R116" s="28"/>
      <c r="S116" s="28"/>
      <c r="T116" s="27"/>
    </row>
    <row r="117" spans="1:20" x14ac:dyDescent="0.35">
      <c r="A117" s="28"/>
      <c r="B117" s="24"/>
      <c r="C117" s="25"/>
      <c r="D117" s="31"/>
      <c r="E117" s="25"/>
      <c r="F117" s="25"/>
      <c r="G117" s="28"/>
      <c r="H117" s="25"/>
      <c r="I117" s="25"/>
      <c r="J117" s="28"/>
      <c r="K117" s="29"/>
      <c r="L117" s="29"/>
      <c r="M117" s="29"/>
      <c r="N117" s="28"/>
      <c r="O117" s="28"/>
      <c r="P117" s="28"/>
      <c r="Q117" s="27"/>
      <c r="R117" s="28"/>
      <c r="S117" s="28"/>
      <c r="T117" s="27"/>
    </row>
    <row r="118" spans="1:20" x14ac:dyDescent="0.35">
      <c r="A118" s="28"/>
      <c r="B118" s="24"/>
      <c r="C118" s="25"/>
      <c r="D118" s="31"/>
      <c r="E118" s="25"/>
      <c r="F118" s="25"/>
      <c r="G118" s="28"/>
      <c r="H118" s="25"/>
      <c r="I118" s="25"/>
      <c r="J118" s="28"/>
      <c r="K118" s="29"/>
      <c r="L118" s="29"/>
      <c r="M118" s="29"/>
      <c r="N118" s="28"/>
      <c r="O118" s="28"/>
      <c r="P118" s="28"/>
      <c r="Q118" s="27"/>
      <c r="R118" s="28"/>
      <c r="S118" s="28"/>
      <c r="T118" s="27"/>
    </row>
    <row r="119" spans="1:20" x14ac:dyDescent="0.35">
      <c r="A119" s="28"/>
      <c r="B119" s="24"/>
      <c r="C119" s="25"/>
      <c r="D119" s="31"/>
      <c r="E119" s="25"/>
      <c r="F119" s="25"/>
      <c r="G119" s="28"/>
      <c r="H119" s="25"/>
      <c r="I119" s="25"/>
      <c r="J119" s="28"/>
      <c r="K119" s="29"/>
      <c r="L119" s="29"/>
      <c r="M119" s="29"/>
      <c r="N119" s="28"/>
      <c r="O119" s="28"/>
      <c r="P119" s="28"/>
      <c r="Q119" s="27"/>
      <c r="R119" s="28"/>
      <c r="S119" s="28"/>
      <c r="T119" s="27"/>
    </row>
    <row r="120" spans="1:20" x14ac:dyDescent="0.35">
      <c r="A120" s="28"/>
      <c r="B120" s="24"/>
      <c r="C120" s="25"/>
      <c r="D120" s="31"/>
      <c r="E120" s="25"/>
      <c r="F120" s="25"/>
      <c r="G120" s="28"/>
      <c r="H120" s="25"/>
      <c r="I120" s="25"/>
      <c r="J120" s="28"/>
      <c r="K120" s="29"/>
      <c r="L120" s="29"/>
      <c r="M120" s="29"/>
      <c r="N120" s="28"/>
      <c r="O120" s="28"/>
      <c r="P120" s="28"/>
      <c r="Q120" s="27"/>
      <c r="R120" s="28"/>
      <c r="S120" s="28"/>
      <c r="T120" s="27"/>
    </row>
    <row r="121" spans="1:20" x14ac:dyDescent="0.35">
      <c r="A121" s="28"/>
      <c r="B121" s="24"/>
      <c r="C121" s="25"/>
      <c r="D121" s="31"/>
      <c r="E121" s="25"/>
      <c r="F121" s="25"/>
      <c r="G121" s="28"/>
      <c r="H121" s="25"/>
      <c r="I121" s="25"/>
      <c r="J121" s="28"/>
      <c r="K121" s="29"/>
      <c r="L121" s="29"/>
      <c r="M121" s="29"/>
      <c r="N121" s="28"/>
      <c r="O121" s="28"/>
      <c r="P121" s="28"/>
      <c r="Q121" s="27"/>
      <c r="R121" s="28"/>
      <c r="S121" s="28"/>
      <c r="T121" s="27"/>
    </row>
    <row r="122" spans="1:20" x14ac:dyDescent="0.35">
      <c r="A122" s="28"/>
      <c r="B122" s="24"/>
      <c r="C122" s="25"/>
      <c r="D122" s="31"/>
      <c r="E122" s="25"/>
      <c r="F122" s="25"/>
      <c r="G122" s="28"/>
      <c r="H122" s="25"/>
      <c r="I122" s="25"/>
      <c r="J122" s="28"/>
      <c r="K122" s="29"/>
      <c r="L122" s="29"/>
      <c r="M122" s="29"/>
      <c r="N122" s="28"/>
      <c r="O122" s="28"/>
      <c r="P122" s="28"/>
      <c r="Q122" s="27"/>
      <c r="R122" s="28"/>
      <c r="S122" s="28"/>
      <c r="T122" s="27"/>
    </row>
    <row r="123" spans="1:20" x14ac:dyDescent="0.35">
      <c r="A123" s="28"/>
      <c r="B123" s="24"/>
      <c r="C123" s="25"/>
      <c r="D123" s="31"/>
      <c r="E123" s="25"/>
      <c r="F123" s="25"/>
      <c r="G123" s="28"/>
      <c r="H123" s="25"/>
      <c r="I123" s="25"/>
      <c r="J123" s="28"/>
      <c r="K123" s="29"/>
      <c r="L123" s="29"/>
      <c r="M123" s="29"/>
      <c r="N123" s="28"/>
      <c r="O123" s="28"/>
      <c r="P123" s="28"/>
      <c r="Q123" s="27"/>
      <c r="R123" s="28"/>
      <c r="S123" s="28"/>
      <c r="T123" s="27"/>
    </row>
    <row r="124" spans="1:20" x14ac:dyDescent="0.35">
      <c r="A124" s="28"/>
      <c r="B124" s="24"/>
      <c r="C124" s="25"/>
      <c r="D124" s="31"/>
      <c r="E124" s="25"/>
      <c r="F124" s="25"/>
      <c r="G124" s="28"/>
      <c r="H124" s="25"/>
      <c r="I124" s="25"/>
      <c r="J124" s="28"/>
      <c r="K124" s="29"/>
      <c r="L124" s="29"/>
      <c r="M124" s="29"/>
      <c r="N124" s="28"/>
      <c r="O124" s="28"/>
      <c r="P124" s="28"/>
      <c r="Q124" s="27"/>
      <c r="R124" s="28"/>
      <c r="S124" s="28"/>
      <c r="T124" s="27"/>
    </row>
    <row r="125" spans="1:20" x14ac:dyDescent="0.35">
      <c r="A125" s="28"/>
      <c r="B125" s="24"/>
      <c r="C125" s="25"/>
      <c r="D125" s="31"/>
      <c r="E125" s="25"/>
      <c r="F125" s="25"/>
      <c r="G125" s="28"/>
      <c r="H125" s="25"/>
      <c r="I125" s="25"/>
      <c r="J125" s="28"/>
      <c r="K125" s="29"/>
      <c r="L125" s="29"/>
      <c r="M125" s="29"/>
      <c r="N125" s="28"/>
      <c r="O125" s="28"/>
      <c r="P125" s="28"/>
      <c r="Q125" s="27"/>
      <c r="R125" s="28"/>
      <c r="S125" s="28"/>
      <c r="T125" s="27"/>
    </row>
    <row r="126" spans="1:20" x14ac:dyDescent="0.35">
      <c r="A126" s="28"/>
      <c r="B126" s="24"/>
      <c r="C126" s="25"/>
      <c r="D126" s="31"/>
      <c r="E126" s="25"/>
      <c r="F126" s="25"/>
      <c r="G126" s="28"/>
      <c r="H126" s="25"/>
      <c r="I126" s="25"/>
      <c r="J126" s="28"/>
      <c r="K126" s="29"/>
      <c r="L126" s="29"/>
      <c r="M126" s="29"/>
      <c r="N126" s="28"/>
      <c r="O126" s="28"/>
      <c r="P126" s="28"/>
      <c r="Q126" s="27"/>
      <c r="R126" s="28"/>
      <c r="S126" s="28"/>
      <c r="T126" s="27"/>
    </row>
    <row r="127" spans="1:20" x14ac:dyDescent="0.35">
      <c r="A127" s="28"/>
      <c r="B127" s="24"/>
      <c r="C127" s="25"/>
      <c r="D127" s="31"/>
      <c r="E127" s="25"/>
      <c r="F127" s="25"/>
      <c r="G127" s="28"/>
      <c r="H127" s="25"/>
      <c r="I127" s="25"/>
      <c r="J127" s="28"/>
      <c r="K127" s="29"/>
      <c r="L127" s="29"/>
      <c r="M127" s="29"/>
      <c r="N127" s="28"/>
      <c r="O127" s="28"/>
      <c r="P127" s="28"/>
      <c r="Q127" s="27"/>
      <c r="R127" s="28"/>
      <c r="S127" s="28"/>
      <c r="T127" s="27"/>
    </row>
    <row r="128" spans="1:20" x14ac:dyDescent="0.35">
      <c r="A128" s="28"/>
      <c r="B128" s="24"/>
      <c r="C128" s="25"/>
      <c r="D128" s="31"/>
      <c r="E128" s="25"/>
      <c r="F128" s="25"/>
      <c r="G128" s="28"/>
      <c r="H128" s="25"/>
      <c r="I128" s="25"/>
      <c r="J128" s="28"/>
      <c r="K128" s="29"/>
      <c r="L128" s="29"/>
      <c r="M128" s="29"/>
      <c r="N128" s="28"/>
      <c r="O128" s="28"/>
      <c r="P128" s="28"/>
      <c r="Q128" s="27"/>
      <c r="R128" s="28"/>
      <c r="S128" s="28"/>
      <c r="T128" s="27"/>
    </row>
    <row r="129" spans="1:20" x14ac:dyDescent="0.35">
      <c r="A129" s="28"/>
      <c r="B129" s="24"/>
      <c r="C129" s="25"/>
      <c r="D129" s="31"/>
      <c r="E129" s="25"/>
      <c r="F129" s="25"/>
      <c r="G129" s="28"/>
      <c r="H129" s="25"/>
      <c r="I129" s="25"/>
      <c r="J129" s="28"/>
      <c r="K129" s="29"/>
      <c r="L129" s="29"/>
      <c r="M129" s="29"/>
      <c r="N129" s="28"/>
      <c r="O129" s="28"/>
      <c r="P129" s="28"/>
      <c r="Q129" s="27"/>
      <c r="R129" s="28"/>
      <c r="S129" s="28"/>
      <c r="T129" s="27"/>
    </row>
    <row r="130" spans="1:20" x14ac:dyDescent="0.35">
      <c r="A130" s="28"/>
      <c r="B130" s="24"/>
      <c r="C130" s="25"/>
      <c r="D130" s="31"/>
      <c r="E130" s="25"/>
      <c r="F130" s="25"/>
      <c r="G130" s="28"/>
      <c r="H130" s="25"/>
      <c r="I130" s="25"/>
      <c r="J130" s="28"/>
      <c r="K130" s="29"/>
      <c r="L130" s="29"/>
      <c r="M130" s="29"/>
      <c r="N130" s="28"/>
      <c r="O130" s="28"/>
      <c r="P130" s="28"/>
      <c r="Q130" s="27"/>
      <c r="R130" s="28"/>
      <c r="S130" s="28"/>
      <c r="T130" s="27"/>
    </row>
    <row r="131" spans="1:20" x14ac:dyDescent="0.35">
      <c r="A131" s="28"/>
      <c r="B131" s="24"/>
      <c r="C131" s="25"/>
      <c r="D131" s="31"/>
      <c r="E131" s="25"/>
      <c r="F131" s="25"/>
      <c r="G131" s="28"/>
      <c r="H131" s="25"/>
      <c r="I131" s="25"/>
      <c r="J131" s="28"/>
      <c r="K131" s="29"/>
      <c r="L131" s="29"/>
      <c r="M131" s="29"/>
      <c r="N131" s="28"/>
      <c r="O131" s="28"/>
      <c r="P131" s="28"/>
      <c r="Q131" s="27"/>
      <c r="R131" s="28"/>
      <c r="S131" s="28"/>
      <c r="T131" s="27"/>
    </row>
    <row r="132" spans="1:20" x14ac:dyDescent="0.35">
      <c r="A132" s="28"/>
      <c r="B132" s="24"/>
      <c r="C132" s="25"/>
      <c r="D132" s="31"/>
      <c r="E132" s="25"/>
      <c r="F132" s="25"/>
      <c r="G132" s="28"/>
      <c r="H132" s="25"/>
      <c r="I132" s="25"/>
      <c r="J132" s="28"/>
      <c r="K132" s="29"/>
      <c r="L132" s="29"/>
      <c r="M132" s="29"/>
      <c r="N132" s="28"/>
      <c r="O132" s="28"/>
      <c r="P132" s="28"/>
      <c r="Q132" s="27"/>
      <c r="R132" s="28"/>
      <c r="S132" s="28"/>
      <c r="T132" s="27"/>
    </row>
    <row r="133" spans="1:20" x14ac:dyDescent="0.35">
      <c r="A133" s="28"/>
      <c r="B133" s="24"/>
      <c r="C133" s="25"/>
      <c r="D133" s="31"/>
      <c r="E133" s="25"/>
      <c r="F133" s="25"/>
      <c r="G133" s="28"/>
      <c r="H133" s="25"/>
      <c r="I133" s="25"/>
      <c r="J133" s="28"/>
      <c r="K133" s="29"/>
      <c r="L133" s="29"/>
      <c r="M133" s="29"/>
      <c r="N133" s="28"/>
      <c r="O133" s="28"/>
      <c r="P133" s="28"/>
      <c r="Q133" s="27"/>
      <c r="R133" s="28"/>
      <c r="S133" s="28"/>
      <c r="T133" s="27"/>
    </row>
    <row r="134" spans="1:20" x14ac:dyDescent="0.35">
      <c r="A134" s="28"/>
      <c r="B134" s="24"/>
      <c r="C134" s="25"/>
      <c r="D134" s="31"/>
      <c r="E134" s="25"/>
      <c r="F134" s="25"/>
      <c r="G134" s="28"/>
      <c r="H134" s="25"/>
      <c r="I134" s="25"/>
      <c r="J134" s="28"/>
      <c r="K134" s="29"/>
      <c r="L134" s="29"/>
      <c r="M134" s="29"/>
      <c r="N134" s="28"/>
      <c r="O134" s="28"/>
      <c r="P134" s="28"/>
      <c r="Q134" s="27"/>
      <c r="R134" s="28"/>
      <c r="S134" s="28"/>
      <c r="T134" s="27"/>
    </row>
    <row r="135" spans="1:20" x14ac:dyDescent="0.35">
      <c r="A135" s="28"/>
      <c r="B135" s="24"/>
      <c r="C135" s="25"/>
      <c r="D135" s="31"/>
      <c r="E135" s="25"/>
      <c r="F135" s="25"/>
      <c r="G135" s="28"/>
      <c r="H135" s="25"/>
      <c r="I135" s="25"/>
      <c r="J135" s="28"/>
      <c r="K135" s="29"/>
      <c r="L135" s="29"/>
      <c r="M135" s="29"/>
      <c r="N135" s="28"/>
      <c r="O135" s="28"/>
      <c r="P135" s="28"/>
      <c r="Q135" s="27"/>
      <c r="R135" s="28"/>
      <c r="S135" s="28"/>
      <c r="T135" s="27"/>
    </row>
    <row r="136" spans="1:20" x14ac:dyDescent="0.35">
      <c r="A136" s="28"/>
      <c r="B136" s="24"/>
      <c r="C136" s="25"/>
      <c r="D136" s="31"/>
      <c r="E136" s="25"/>
      <c r="F136" s="25"/>
      <c r="G136" s="28"/>
      <c r="H136" s="25"/>
      <c r="I136" s="25"/>
      <c r="J136" s="28"/>
      <c r="K136" s="29"/>
      <c r="L136" s="29"/>
      <c r="M136" s="29"/>
      <c r="N136" s="28"/>
      <c r="O136" s="28"/>
      <c r="P136" s="28"/>
      <c r="Q136" s="27"/>
      <c r="R136" s="28"/>
      <c r="S136" s="28"/>
      <c r="T136" s="27"/>
    </row>
    <row r="137" spans="1:20" x14ac:dyDescent="0.35">
      <c r="A137" s="28"/>
      <c r="B137" s="24"/>
      <c r="C137" s="25"/>
      <c r="D137" s="31"/>
      <c r="E137" s="25"/>
      <c r="F137" s="25"/>
      <c r="G137" s="28"/>
      <c r="H137" s="25"/>
      <c r="I137" s="25"/>
      <c r="J137" s="28"/>
      <c r="K137" s="29"/>
      <c r="L137" s="29"/>
      <c r="M137" s="29"/>
      <c r="N137" s="28"/>
      <c r="O137" s="28"/>
      <c r="P137" s="28"/>
      <c r="Q137" s="27"/>
      <c r="R137" s="28"/>
      <c r="S137" s="28"/>
      <c r="T137" s="27"/>
    </row>
    <row r="138" spans="1:20" x14ac:dyDescent="0.35">
      <c r="A138" s="28"/>
      <c r="B138" s="24"/>
      <c r="C138" s="25"/>
      <c r="D138" s="31"/>
      <c r="E138" s="25"/>
      <c r="F138" s="25"/>
      <c r="G138" s="28"/>
      <c r="H138" s="25"/>
      <c r="I138" s="25"/>
      <c r="J138" s="28"/>
      <c r="K138" s="29"/>
      <c r="L138" s="29"/>
      <c r="M138" s="29"/>
      <c r="N138" s="28"/>
      <c r="O138" s="28"/>
      <c r="P138" s="28"/>
      <c r="Q138" s="27"/>
      <c r="R138" s="28"/>
      <c r="S138" s="28"/>
      <c r="T138" s="27"/>
    </row>
    <row r="139" spans="1:20" x14ac:dyDescent="0.35">
      <c r="A139" s="28"/>
      <c r="B139" s="24"/>
      <c r="C139" s="25"/>
      <c r="D139" s="31"/>
      <c r="E139" s="25"/>
      <c r="F139" s="25"/>
      <c r="G139" s="28"/>
      <c r="H139" s="25"/>
      <c r="I139" s="25"/>
      <c r="J139" s="28"/>
      <c r="K139" s="29"/>
      <c r="L139" s="29"/>
      <c r="M139" s="29"/>
      <c r="N139" s="28"/>
      <c r="O139" s="28"/>
      <c r="P139" s="28"/>
      <c r="Q139" s="27"/>
      <c r="R139" s="28"/>
      <c r="S139" s="28"/>
      <c r="T139" s="27"/>
    </row>
    <row r="140" spans="1:20" x14ac:dyDescent="0.35">
      <c r="A140" s="28"/>
      <c r="B140" s="24"/>
      <c r="C140" s="25"/>
      <c r="D140" s="31"/>
      <c r="E140" s="25"/>
      <c r="F140" s="25"/>
      <c r="G140" s="28"/>
      <c r="H140" s="25"/>
      <c r="I140" s="25"/>
      <c r="J140" s="28"/>
      <c r="K140" s="29"/>
      <c r="L140" s="29"/>
      <c r="M140" s="29"/>
      <c r="N140" s="28"/>
      <c r="O140" s="28"/>
      <c r="P140" s="28"/>
      <c r="Q140" s="27"/>
      <c r="R140" s="28"/>
      <c r="S140" s="28"/>
      <c r="T140" s="27"/>
    </row>
    <row r="141" spans="1:20" x14ac:dyDescent="0.35">
      <c r="A141" s="28"/>
      <c r="B141" s="24"/>
      <c r="C141" s="25"/>
      <c r="D141" s="31"/>
      <c r="E141" s="25"/>
      <c r="F141" s="25"/>
      <c r="G141" s="28"/>
      <c r="H141" s="25"/>
      <c r="I141" s="25"/>
      <c r="J141" s="28"/>
      <c r="K141" s="29"/>
      <c r="L141" s="29"/>
      <c r="M141" s="29"/>
      <c r="N141" s="28"/>
      <c r="O141" s="28"/>
      <c r="P141" s="28"/>
      <c r="Q141" s="27"/>
      <c r="R141" s="28"/>
      <c r="S141" s="28"/>
      <c r="T141" s="27"/>
    </row>
    <row r="142" spans="1:20" x14ac:dyDescent="0.35">
      <c r="A142" s="28"/>
      <c r="B142" s="24"/>
      <c r="C142" s="25"/>
      <c r="D142" s="31"/>
      <c r="E142" s="25"/>
      <c r="F142" s="25"/>
      <c r="G142" s="28"/>
      <c r="H142" s="25"/>
      <c r="I142" s="25"/>
      <c r="J142" s="28"/>
      <c r="K142" s="29"/>
      <c r="L142" s="29"/>
      <c r="M142" s="29"/>
      <c r="N142" s="28"/>
      <c r="O142" s="28"/>
      <c r="P142" s="28"/>
      <c r="Q142" s="27"/>
      <c r="R142" s="28"/>
      <c r="S142" s="28"/>
      <c r="T142" s="27"/>
    </row>
    <row r="143" spans="1:20" x14ac:dyDescent="0.35">
      <c r="A143" s="28"/>
      <c r="B143" s="24"/>
      <c r="C143" s="25"/>
      <c r="D143" s="31"/>
      <c r="E143" s="25"/>
      <c r="F143" s="25"/>
      <c r="G143" s="28"/>
      <c r="H143" s="25"/>
      <c r="I143" s="25"/>
      <c r="J143" s="28"/>
      <c r="K143" s="29"/>
      <c r="L143" s="29"/>
      <c r="M143" s="29"/>
      <c r="N143" s="28"/>
      <c r="O143" s="28"/>
      <c r="P143" s="28"/>
      <c r="Q143" s="27"/>
      <c r="R143" s="28"/>
      <c r="S143" s="28"/>
      <c r="T143" s="27"/>
    </row>
    <row r="144" spans="1:20" x14ac:dyDescent="0.35">
      <c r="A144" s="28"/>
      <c r="B144" s="24"/>
      <c r="C144" s="25"/>
      <c r="D144" s="31"/>
      <c r="E144" s="25"/>
      <c r="F144" s="25"/>
      <c r="G144" s="28"/>
      <c r="H144" s="25"/>
      <c r="I144" s="25"/>
      <c r="J144" s="28"/>
      <c r="K144" s="29"/>
      <c r="L144" s="29"/>
      <c r="M144" s="29"/>
      <c r="N144" s="28"/>
      <c r="O144" s="28"/>
      <c r="P144" s="28"/>
      <c r="Q144" s="27"/>
      <c r="R144" s="28"/>
      <c r="S144" s="28"/>
      <c r="T144" s="27"/>
    </row>
    <row r="145" spans="1:20" x14ac:dyDescent="0.35">
      <c r="A145" s="28"/>
      <c r="B145" s="24"/>
      <c r="C145" s="25"/>
      <c r="D145" s="31"/>
      <c r="E145" s="25"/>
      <c r="F145" s="25"/>
      <c r="G145" s="28"/>
      <c r="H145" s="25"/>
      <c r="I145" s="25"/>
      <c r="J145" s="28"/>
      <c r="K145" s="29"/>
      <c r="L145" s="29"/>
      <c r="M145" s="29"/>
      <c r="N145" s="28"/>
      <c r="O145" s="28"/>
      <c r="P145" s="28"/>
      <c r="Q145" s="27"/>
      <c r="R145" s="28"/>
      <c r="S145" s="28"/>
      <c r="T145" s="27"/>
    </row>
    <row r="146" spans="1:20" x14ac:dyDescent="0.35">
      <c r="A146" s="28"/>
      <c r="B146" s="24"/>
      <c r="C146" s="25"/>
      <c r="D146" s="31"/>
      <c r="E146" s="25"/>
      <c r="F146" s="25"/>
      <c r="G146" s="28"/>
      <c r="H146" s="25"/>
      <c r="I146" s="25"/>
      <c r="J146" s="28"/>
      <c r="K146" s="29"/>
      <c r="L146" s="29"/>
      <c r="M146" s="29"/>
      <c r="N146" s="28"/>
      <c r="O146" s="28"/>
      <c r="P146" s="28"/>
      <c r="Q146" s="27"/>
      <c r="R146" s="28"/>
      <c r="S146" s="28"/>
      <c r="T146" s="27"/>
    </row>
    <row r="147" spans="1:20" x14ac:dyDescent="0.35">
      <c r="A147" s="28"/>
      <c r="B147" s="24"/>
      <c r="C147" s="25"/>
      <c r="D147" s="31"/>
      <c r="E147" s="25"/>
      <c r="F147" s="25"/>
      <c r="G147" s="28"/>
      <c r="H147" s="25"/>
      <c r="I147" s="25"/>
      <c r="J147" s="28"/>
      <c r="K147" s="29"/>
      <c r="L147" s="29"/>
      <c r="M147" s="29"/>
      <c r="N147" s="28"/>
      <c r="O147" s="28"/>
      <c r="P147" s="28"/>
      <c r="Q147" s="27"/>
      <c r="R147" s="28"/>
      <c r="S147" s="28"/>
      <c r="T147" s="27"/>
    </row>
    <row r="148" spans="1:20" x14ac:dyDescent="0.35">
      <c r="A148" s="28"/>
      <c r="B148" s="24"/>
      <c r="C148" s="25"/>
      <c r="D148" s="31"/>
      <c r="E148" s="25"/>
      <c r="F148" s="25"/>
      <c r="G148" s="28"/>
      <c r="H148" s="25"/>
      <c r="I148" s="25"/>
      <c r="J148" s="28"/>
      <c r="K148" s="29"/>
      <c r="L148" s="29"/>
      <c r="M148" s="29"/>
      <c r="N148" s="28"/>
      <c r="O148" s="28"/>
      <c r="P148" s="28"/>
      <c r="Q148" s="27"/>
      <c r="R148" s="28"/>
      <c r="S148" s="28"/>
      <c r="T148" s="27"/>
    </row>
    <row r="149" spans="1:20" x14ac:dyDescent="0.35">
      <c r="A149" s="28"/>
      <c r="B149" s="24"/>
      <c r="C149" s="25"/>
      <c r="D149" s="31"/>
      <c r="E149" s="25"/>
      <c r="F149" s="25"/>
      <c r="G149" s="28"/>
      <c r="H149" s="25"/>
      <c r="I149" s="25"/>
      <c r="J149" s="28"/>
      <c r="K149" s="29"/>
      <c r="L149" s="29"/>
      <c r="M149" s="29"/>
      <c r="N149" s="28"/>
      <c r="O149" s="28"/>
      <c r="P149" s="28"/>
      <c r="Q149" s="27"/>
      <c r="R149" s="28"/>
      <c r="S149" s="28"/>
      <c r="T149" s="27"/>
    </row>
    <row r="150" spans="1:20" x14ac:dyDescent="0.35">
      <c r="A150" s="28"/>
      <c r="B150" s="24"/>
      <c r="C150" s="25"/>
      <c r="D150" s="31"/>
      <c r="E150" s="25"/>
      <c r="F150" s="25"/>
      <c r="G150" s="28"/>
      <c r="H150" s="25"/>
      <c r="I150" s="25"/>
      <c r="J150" s="28"/>
      <c r="K150" s="29"/>
      <c r="L150" s="29"/>
      <c r="M150" s="29"/>
      <c r="N150" s="28"/>
      <c r="O150" s="28"/>
      <c r="P150" s="28"/>
      <c r="Q150" s="27"/>
      <c r="R150" s="28"/>
      <c r="S150" s="28"/>
      <c r="T150" s="27"/>
    </row>
    <row r="151" spans="1:20" x14ac:dyDescent="0.35">
      <c r="A151" s="28"/>
      <c r="B151" s="24"/>
      <c r="C151" s="25"/>
      <c r="D151" s="31"/>
      <c r="E151" s="25"/>
      <c r="F151" s="25"/>
      <c r="G151" s="28"/>
      <c r="H151" s="25"/>
      <c r="I151" s="25"/>
      <c r="J151" s="28"/>
      <c r="K151" s="29"/>
      <c r="L151" s="29"/>
      <c r="M151" s="29"/>
      <c r="N151" s="28"/>
      <c r="O151" s="28"/>
      <c r="P151" s="28"/>
      <c r="Q151" s="27"/>
      <c r="R151" s="28"/>
      <c r="S151" s="28"/>
      <c r="T151" s="27"/>
    </row>
    <row r="152" spans="1:20" x14ac:dyDescent="0.35">
      <c r="A152" s="28"/>
      <c r="B152" s="24"/>
      <c r="C152" s="25"/>
      <c r="D152" s="31"/>
      <c r="E152" s="25"/>
      <c r="F152" s="25"/>
      <c r="G152" s="28"/>
      <c r="H152" s="25"/>
      <c r="I152" s="25"/>
      <c r="J152" s="28"/>
      <c r="K152" s="29"/>
      <c r="L152" s="29"/>
      <c r="M152" s="29"/>
      <c r="N152" s="28"/>
      <c r="O152" s="28"/>
      <c r="P152" s="28"/>
      <c r="Q152" s="27"/>
      <c r="R152" s="28"/>
      <c r="S152" s="28"/>
      <c r="T152" s="27"/>
    </row>
    <row r="153" spans="1:20" x14ac:dyDescent="0.35">
      <c r="A153" s="28"/>
      <c r="B153" s="24"/>
      <c r="C153" s="25"/>
      <c r="D153" s="31"/>
      <c r="E153" s="25"/>
      <c r="F153" s="25"/>
      <c r="G153" s="28"/>
      <c r="H153" s="25"/>
      <c r="I153" s="25"/>
      <c r="J153" s="28"/>
      <c r="K153" s="29"/>
      <c r="L153" s="29"/>
      <c r="M153" s="29"/>
      <c r="N153" s="28"/>
      <c r="O153" s="28"/>
      <c r="P153" s="28"/>
      <c r="Q153" s="27"/>
      <c r="R153" s="28"/>
      <c r="S153" s="28"/>
      <c r="T153" s="27"/>
    </row>
    <row r="154" spans="1:20" x14ac:dyDescent="0.35">
      <c r="A154" s="28"/>
      <c r="B154" s="24"/>
      <c r="C154" s="25"/>
      <c r="D154" s="31"/>
      <c r="E154" s="25"/>
      <c r="F154" s="25"/>
      <c r="G154" s="28"/>
      <c r="H154" s="25"/>
      <c r="I154" s="25"/>
      <c r="J154" s="28"/>
      <c r="K154" s="29"/>
      <c r="L154" s="29"/>
      <c r="M154" s="29"/>
      <c r="N154" s="28"/>
      <c r="O154" s="28"/>
      <c r="P154" s="28"/>
      <c r="Q154" s="27"/>
      <c r="R154" s="28"/>
      <c r="S154" s="28"/>
      <c r="T154" s="27"/>
    </row>
    <row r="155" spans="1:20" x14ac:dyDescent="0.35">
      <c r="A155" s="28"/>
      <c r="B155" s="24"/>
      <c r="C155" s="25"/>
      <c r="D155" s="31"/>
      <c r="E155" s="25"/>
      <c r="F155" s="25"/>
      <c r="G155" s="28"/>
      <c r="H155" s="25"/>
      <c r="I155" s="25"/>
      <c r="J155" s="28"/>
      <c r="K155" s="29"/>
      <c r="L155" s="29"/>
      <c r="M155" s="29"/>
      <c r="N155" s="28"/>
      <c r="O155" s="28"/>
      <c r="P155" s="28"/>
      <c r="Q155" s="27"/>
      <c r="R155" s="28"/>
      <c r="S155" s="28"/>
      <c r="T155" s="27"/>
    </row>
    <row r="156" spans="1:20" x14ac:dyDescent="0.35">
      <c r="A156" s="28"/>
      <c r="B156" s="24"/>
      <c r="C156" s="25"/>
      <c r="D156" s="31"/>
      <c r="E156" s="25"/>
      <c r="F156" s="25"/>
      <c r="G156" s="28"/>
      <c r="H156" s="25"/>
      <c r="I156" s="25"/>
      <c r="J156" s="28"/>
      <c r="K156" s="29"/>
      <c r="L156" s="29"/>
      <c r="M156" s="29"/>
      <c r="N156" s="28"/>
      <c r="O156" s="28"/>
      <c r="P156" s="28"/>
      <c r="Q156" s="27"/>
      <c r="R156" s="28"/>
      <c r="S156" s="28"/>
      <c r="T156" s="27"/>
    </row>
    <row r="157" spans="1:20" x14ac:dyDescent="0.35">
      <c r="A157" s="28"/>
      <c r="B157" s="24"/>
      <c r="C157" s="25"/>
      <c r="D157" s="31"/>
      <c r="E157" s="25"/>
      <c r="F157" s="25"/>
      <c r="G157" s="28"/>
      <c r="H157" s="25"/>
      <c r="I157" s="25"/>
      <c r="J157" s="28"/>
      <c r="K157" s="29"/>
      <c r="L157" s="29"/>
      <c r="M157" s="29"/>
      <c r="N157" s="28"/>
      <c r="O157" s="28"/>
      <c r="P157" s="28"/>
      <c r="Q157" s="27"/>
      <c r="R157" s="28"/>
      <c r="S157" s="28"/>
      <c r="T157" s="27"/>
    </row>
    <row r="158" spans="1:20" x14ac:dyDescent="0.35">
      <c r="A158" s="28"/>
      <c r="B158" s="24"/>
      <c r="C158" s="25"/>
      <c r="D158" s="31"/>
      <c r="E158" s="25"/>
      <c r="F158" s="25"/>
      <c r="G158" s="28"/>
      <c r="H158" s="25"/>
      <c r="I158" s="25"/>
      <c r="J158" s="28"/>
      <c r="K158" s="29"/>
      <c r="L158" s="29"/>
      <c r="M158" s="29"/>
      <c r="N158" s="28"/>
      <c r="O158" s="28"/>
      <c r="P158" s="28"/>
      <c r="Q158" s="27"/>
      <c r="R158" s="28"/>
      <c r="S158" s="28"/>
      <c r="T158" s="27"/>
    </row>
    <row r="159" spans="1:20" x14ac:dyDescent="0.35">
      <c r="A159" s="28"/>
      <c r="B159" s="24"/>
      <c r="C159" s="25"/>
      <c r="D159" s="31"/>
      <c r="E159" s="25"/>
      <c r="F159" s="25"/>
      <c r="G159" s="28"/>
      <c r="H159" s="25"/>
      <c r="I159" s="25"/>
      <c r="J159" s="28"/>
      <c r="K159" s="29"/>
      <c r="L159" s="29"/>
      <c r="M159" s="29"/>
      <c r="N159" s="28"/>
      <c r="O159" s="28"/>
      <c r="P159" s="28"/>
      <c r="Q159" s="27"/>
      <c r="R159" s="28"/>
      <c r="S159" s="28"/>
      <c r="T159" s="27"/>
    </row>
    <row r="160" spans="1:20" x14ac:dyDescent="0.35">
      <c r="A160" s="28"/>
      <c r="B160" s="24"/>
      <c r="C160" s="25"/>
      <c r="D160" s="31"/>
      <c r="E160" s="25"/>
      <c r="F160" s="25"/>
      <c r="G160" s="28"/>
      <c r="H160" s="25"/>
      <c r="I160" s="25"/>
      <c r="J160" s="28"/>
      <c r="K160" s="29"/>
      <c r="L160" s="29"/>
      <c r="M160" s="29"/>
      <c r="N160" s="28"/>
      <c r="O160" s="28"/>
      <c r="P160" s="28"/>
      <c r="Q160" s="27"/>
      <c r="R160" s="28"/>
      <c r="S160" s="28"/>
      <c r="T160" s="27"/>
    </row>
    <row r="161" spans="1:20" x14ac:dyDescent="0.35">
      <c r="A161" s="28"/>
      <c r="B161" s="24"/>
      <c r="C161" s="25"/>
      <c r="D161" s="31"/>
      <c r="E161" s="25"/>
      <c r="F161" s="25"/>
      <c r="G161" s="28"/>
      <c r="H161" s="25"/>
      <c r="I161" s="25"/>
      <c r="J161" s="28"/>
      <c r="K161" s="29"/>
      <c r="L161" s="29"/>
      <c r="M161" s="29"/>
      <c r="N161" s="28"/>
      <c r="O161" s="28"/>
      <c r="P161" s="28"/>
      <c r="Q161" s="27"/>
      <c r="R161" s="28"/>
      <c r="S161" s="28"/>
      <c r="T161" s="27"/>
    </row>
    <row r="162" spans="1:20" x14ac:dyDescent="0.35">
      <c r="A162" s="28"/>
      <c r="B162" s="24"/>
      <c r="C162" s="25"/>
      <c r="D162" s="31"/>
      <c r="E162" s="25"/>
      <c r="F162" s="25"/>
      <c r="G162" s="28"/>
      <c r="H162" s="25"/>
      <c r="I162" s="25"/>
      <c r="J162" s="28"/>
      <c r="K162" s="29"/>
      <c r="L162" s="29"/>
      <c r="M162" s="29"/>
      <c r="N162" s="28"/>
      <c r="O162" s="28"/>
      <c r="P162" s="28"/>
      <c r="Q162" s="27"/>
      <c r="R162" s="28"/>
      <c r="S162" s="28"/>
      <c r="T162" s="27"/>
    </row>
    <row r="163" spans="1:20" x14ac:dyDescent="0.35">
      <c r="A163" s="28"/>
      <c r="B163" s="24"/>
      <c r="C163" s="25"/>
      <c r="D163" s="31"/>
      <c r="E163" s="25"/>
      <c r="F163" s="25"/>
      <c r="G163" s="28"/>
      <c r="H163" s="25"/>
      <c r="I163" s="25"/>
      <c r="J163" s="28"/>
      <c r="K163" s="29"/>
      <c r="L163" s="29"/>
      <c r="M163" s="29"/>
      <c r="N163" s="28"/>
      <c r="O163" s="28"/>
      <c r="P163" s="28"/>
      <c r="Q163" s="27"/>
      <c r="R163" s="28"/>
      <c r="S163" s="28"/>
      <c r="T163" s="27"/>
    </row>
    <row r="164" spans="1:20" x14ac:dyDescent="0.35">
      <c r="A164" s="28"/>
      <c r="B164" s="24"/>
      <c r="C164" s="25"/>
      <c r="D164" s="31"/>
      <c r="E164" s="25"/>
      <c r="F164" s="25"/>
      <c r="G164" s="28"/>
      <c r="H164" s="25"/>
      <c r="I164" s="25"/>
      <c r="J164" s="28"/>
      <c r="K164" s="29"/>
      <c r="L164" s="29"/>
      <c r="M164" s="29"/>
      <c r="N164" s="28"/>
      <c r="O164" s="28"/>
      <c r="P164" s="28"/>
      <c r="Q164" s="27"/>
      <c r="R164" s="28"/>
      <c r="S164" s="28"/>
      <c r="T164" s="27"/>
    </row>
    <row r="165" spans="1:20" x14ac:dyDescent="0.35">
      <c r="A165" s="28"/>
      <c r="B165" s="24"/>
      <c r="C165" s="25"/>
      <c r="D165" s="31"/>
      <c r="E165" s="25"/>
      <c r="F165" s="25"/>
      <c r="G165" s="28"/>
      <c r="H165" s="25"/>
      <c r="I165" s="25"/>
      <c r="J165" s="28"/>
      <c r="K165" s="29"/>
      <c r="L165" s="29"/>
      <c r="M165" s="29"/>
      <c r="N165" s="28"/>
      <c r="O165" s="28"/>
      <c r="P165" s="28"/>
      <c r="Q165" s="27"/>
      <c r="R165" s="28"/>
      <c r="S165" s="28"/>
      <c r="T165" s="27"/>
    </row>
    <row r="166" spans="1:20" x14ac:dyDescent="0.35">
      <c r="A166" s="28"/>
      <c r="B166" s="24"/>
      <c r="C166" s="25"/>
      <c r="D166" s="31"/>
      <c r="E166" s="25"/>
      <c r="F166" s="25"/>
      <c r="G166" s="28"/>
      <c r="H166" s="25"/>
      <c r="I166" s="25"/>
      <c r="J166" s="28"/>
      <c r="K166" s="29"/>
      <c r="L166" s="29"/>
      <c r="M166" s="29"/>
      <c r="N166" s="28"/>
      <c r="O166" s="28"/>
      <c r="P166" s="28"/>
      <c r="Q166" s="27"/>
      <c r="R166" s="28"/>
      <c r="S166" s="28"/>
      <c r="T166" s="27"/>
    </row>
    <row r="167" spans="1:20" x14ac:dyDescent="0.35">
      <c r="A167" s="28"/>
      <c r="B167" s="24"/>
      <c r="C167" s="25"/>
      <c r="D167" s="31"/>
      <c r="E167" s="25"/>
      <c r="F167" s="25"/>
      <c r="G167" s="28"/>
      <c r="H167" s="25"/>
      <c r="I167" s="25"/>
      <c r="J167" s="28"/>
      <c r="K167" s="29"/>
      <c r="L167" s="29"/>
      <c r="M167" s="29"/>
      <c r="N167" s="28"/>
      <c r="O167" s="28"/>
      <c r="P167" s="28"/>
      <c r="Q167" s="27"/>
      <c r="R167" s="28"/>
      <c r="S167" s="28"/>
      <c r="T167" s="27"/>
    </row>
    <row r="168" spans="1:20" x14ac:dyDescent="0.35">
      <c r="A168" s="28"/>
      <c r="B168" s="24"/>
      <c r="C168" s="25"/>
      <c r="D168" s="31"/>
      <c r="E168" s="25"/>
      <c r="F168" s="25"/>
      <c r="G168" s="28"/>
      <c r="H168" s="25"/>
      <c r="I168" s="25"/>
      <c r="J168" s="28"/>
      <c r="K168" s="29"/>
      <c r="L168" s="29"/>
      <c r="M168" s="29"/>
      <c r="N168" s="28"/>
      <c r="O168" s="28"/>
      <c r="P168" s="28"/>
      <c r="Q168" s="27"/>
      <c r="R168" s="28"/>
      <c r="S168" s="28"/>
      <c r="T168" s="27"/>
    </row>
    <row r="169" spans="1:20" x14ac:dyDescent="0.35">
      <c r="A169" s="28"/>
      <c r="B169" s="24"/>
      <c r="C169" s="25"/>
      <c r="D169" s="31"/>
      <c r="E169" s="25"/>
      <c r="F169" s="25"/>
      <c r="G169" s="28"/>
      <c r="H169" s="25"/>
      <c r="I169" s="25"/>
      <c r="J169" s="28"/>
      <c r="K169" s="29"/>
      <c r="L169" s="29"/>
      <c r="M169" s="29"/>
      <c r="N169" s="28"/>
      <c r="O169" s="28"/>
      <c r="P169" s="28"/>
      <c r="Q169" s="27"/>
      <c r="R169" s="28"/>
      <c r="S169" s="28"/>
      <c r="T169" s="27"/>
    </row>
    <row r="170" spans="1:20" x14ac:dyDescent="0.35">
      <c r="A170" s="28"/>
      <c r="B170" s="24"/>
      <c r="C170" s="25"/>
      <c r="D170" s="31"/>
      <c r="E170" s="25"/>
      <c r="F170" s="25"/>
      <c r="G170" s="28"/>
      <c r="H170" s="25"/>
      <c r="I170" s="25"/>
      <c r="J170" s="28"/>
      <c r="K170" s="29"/>
      <c r="L170" s="29"/>
      <c r="M170" s="29"/>
      <c r="N170" s="28"/>
      <c r="O170" s="28"/>
      <c r="P170" s="28"/>
      <c r="Q170" s="27"/>
      <c r="R170" s="28"/>
      <c r="S170" s="28"/>
      <c r="T170" s="27"/>
    </row>
    <row r="171" spans="1:20" x14ac:dyDescent="0.35">
      <c r="A171" s="28"/>
      <c r="B171" s="24"/>
      <c r="C171" s="25"/>
      <c r="D171" s="31"/>
      <c r="E171" s="25"/>
      <c r="F171" s="25"/>
      <c r="G171" s="28"/>
      <c r="H171" s="25"/>
      <c r="I171" s="25"/>
      <c r="J171" s="28"/>
      <c r="K171" s="29"/>
      <c r="L171" s="29"/>
      <c r="M171" s="29"/>
      <c r="N171" s="28"/>
      <c r="O171" s="28"/>
      <c r="P171" s="28"/>
      <c r="Q171" s="27"/>
      <c r="R171" s="28"/>
      <c r="S171" s="28"/>
      <c r="T171" s="27"/>
    </row>
    <row r="172" spans="1:20" x14ac:dyDescent="0.35">
      <c r="A172" s="28"/>
      <c r="B172" s="24"/>
      <c r="C172" s="25"/>
      <c r="D172" s="31"/>
      <c r="E172" s="25"/>
      <c r="F172" s="25"/>
      <c r="G172" s="28"/>
      <c r="H172" s="25"/>
      <c r="I172" s="25"/>
      <c r="J172" s="28"/>
      <c r="K172" s="29"/>
      <c r="L172" s="29"/>
      <c r="M172" s="29"/>
      <c r="N172" s="28"/>
      <c r="O172" s="28"/>
      <c r="P172" s="28"/>
      <c r="Q172" s="27"/>
      <c r="R172" s="28"/>
      <c r="S172" s="28"/>
      <c r="T172" s="27"/>
    </row>
    <row r="173" spans="1:20" x14ac:dyDescent="0.35">
      <c r="A173" s="28"/>
      <c r="B173" s="24"/>
      <c r="C173" s="25"/>
      <c r="D173" s="31"/>
      <c r="E173" s="25"/>
      <c r="F173" s="25"/>
      <c r="G173" s="28"/>
      <c r="H173" s="25"/>
      <c r="I173" s="25"/>
      <c r="J173" s="28"/>
      <c r="K173" s="29"/>
      <c r="L173" s="29"/>
      <c r="M173" s="29"/>
      <c r="N173" s="28"/>
      <c r="O173" s="28"/>
      <c r="P173" s="28"/>
      <c r="Q173" s="27"/>
      <c r="R173" s="28"/>
      <c r="S173" s="28"/>
      <c r="T173" s="27"/>
    </row>
    <row r="174" spans="1:20" x14ac:dyDescent="0.35">
      <c r="A174" s="28"/>
      <c r="B174" s="24"/>
      <c r="C174" s="25"/>
      <c r="D174" s="31"/>
      <c r="E174" s="25"/>
      <c r="F174" s="25"/>
      <c r="G174" s="28"/>
      <c r="H174" s="25"/>
      <c r="I174" s="25"/>
      <c r="J174" s="28"/>
      <c r="K174" s="29"/>
      <c r="L174" s="29"/>
      <c r="M174" s="29"/>
      <c r="N174" s="28"/>
      <c r="O174" s="28"/>
      <c r="P174" s="28"/>
      <c r="Q174" s="27"/>
      <c r="R174" s="28"/>
      <c r="S174" s="28"/>
      <c r="T174" s="27"/>
    </row>
    <row r="175" spans="1:20" x14ac:dyDescent="0.35">
      <c r="A175" s="28"/>
      <c r="B175" s="24"/>
      <c r="C175" s="25"/>
      <c r="D175" s="31"/>
      <c r="E175" s="25"/>
      <c r="F175" s="25"/>
      <c r="G175" s="28"/>
      <c r="H175" s="25"/>
      <c r="I175" s="25"/>
      <c r="J175" s="28"/>
      <c r="K175" s="29"/>
      <c r="L175" s="29"/>
      <c r="M175" s="29"/>
      <c r="N175" s="28"/>
      <c r="O175" s="28"/>
      <c r="P175" s="28"/>
      <c r="Q175" s="27"/>
      <c r="R175" s="28"/>
      <c r="S175" s="28"/>
      <c r="T175" s="27"/>
    </row>
    <row r="176" spans="1:20" x14ac:dyDescent="0.35">
      <c r="A176" s="28"/>
      <c r="B176" s="24"/>
      <c r="C176" s="25"/>
      <c r="D176" s="31"/>
      <c r="E176" s="25"/>
      <c r="F176" s="25"/>
      <c r="G176" s="28"/>
      <c r="H176" s="25"/>
      <c r="I176" s="25"/>
      <c r="J176" s="28"/>
      <c r="K176" s="29"/>
      <c r="L176" s="29"/>
      <c r="M176" s="29"/>
      <c r="N176" s="28"/>
      <c r="O176" s="28"/>
      <c r="P176" s="28"/>
      <c r="Q176" s="27"/>
      <c r="R176" s="28"/>
      <c r="S176" s="28"/>
      <c r="T176" s="27"/>
    </row>
    <row r="177" spans="1:23" x14ac:dyDescent="0.35">
      <c r="A177" s="28"/>
      <c r="B177" s="24"/>
      <c r="C177" s="25"/>
      <c r="D177" s="31"/>
      <c r="E177" s="25"/>
      <c r="F177" s="25"/>
      <c r="G177" s="28"/>
      <c r="H177" s="25"/>
      <c r="I177" s="25"/>
      <c r="J177" s="28"/>
      <c r="K177" s="29"/>
      <c r="L177" s="29"/>
      <c r="M177" s="29"/>
      <c r="N177" s="28"/>
      <c r="O177" s="28"/>
      <c r="P177" s="28"/>
      <c r="Q177" s="27"/>
      <c r="R177" s="28"/>
      <c r="S177" s="28"/>
      <c r="T177" s="27"/>
    </row>
    <row r="178" spans="1:23" x14ac:dyDescent="0.35">
      <c r="A178" s="28"/>
      <c r="B178" s="24"/>
      <c r="C178" s="25"/>
      <c r="D178" s="31"/>
      <c r="E178" s="25"/>
      <c r="F178" s="25"/>
      <c r="G178" s="28"/>
      <c r="H178" s="25"/>
      <c r="I178" s="25"/>
      <c r="J178" s="28"/>
      <c r="K178" s="29"/>
      <c r="L178" s="29"/>
      <c r="M178" s="29"/>
      <c r="N178" s="28"/>
      <c r="O178" s="28"/>
      <c r="P178" s="28"/>
      <c r="Q178" s="27"/>
      <c r="R178" s="28"/>
      <c r="S178" s="28"/>
      <c r="T178" s="27"/>
    </row>
    <row r="179" spans="1:23" x14ac:dyDescent="0.35">
      <c r="A179" s="28"/>
      <c r="B179" s="24"/>
      <c r="C179" s="25"/>
      <c r="D179" s="31"/>
      <c r="E179" s="25"/>
      <c r="F179" s="25"/>
      <c r="G179" s="28"/>
      <c r="H179" s="25"/>
      <c r="I179" s="25"/>
      <c r="J179" s="28"/>
      <c r="K179" s="29"/>
      <c r="L179" s="29"/>
      <c r="M179" s="29"/>
      <c r="N179" s="28"/>
      <c r="O179" s="28"/>
      <c r="P179" s="28"/>
      <c r="Q179" s="27"/>
      <c r="R179" s="28"/>
      <c r="S179" s="28"/>
      <c r="T179" s="27"/>
    </row>
    <row r="180" spans="1:23" x14ac:dyDescent="0.35">
      <c r="A180" s="28"/>
      <c r="B180" s="24"/>
      <c r="C180" s="25"/>
      <c r="D180" s="31"/>
      <c r="E180" s="25"/>
      <c r="F180" s="25"/>
      <c r="G180" s="28"/>
      <c r="H180" s="25"/>
      <c r="I180" s="25"/>
      <c r="J180" s="28"/>
      <c r="K180" s="29"/>
      <c r="L180" s="29"/>
      <c r="M180" s="29"/>
      <c r="N180" s="28"/>
      <c r="O180" s="28"/>
      <c r="P180" s="28"/>
      <c r="Q180" s="27"/>
      <c r="R180" s="28"/>
      <c r="S180" s="28"/>
      <c r="T180" s="27"/>
    </row>
    <row r="181" spans="1:23" x14ac:dyDescent="0.35">
      <c r="A181" s="28"/>
      <c r="B181" s="24"/>
      <c r="C181" s="25"/>
      <c r="D181" s="31"/>
      <c r="E181" s="25"/>
      <c r="F181" s="25"/>
      <c r="G181" s="28"/>
      <c r="H181" s="25"/>
      <c r="I181" s="25"/>
      <c r="J181" s="28"/>
      <c r="K181" s="29"/>
      <c r="L181" s="29"/>
      <c r="M181" s="29"/>
      <c r="N181" s="28"/>
      <c r="O181" s="28"/>
      <c r="P181" s="28"/>
      <c r="Q181" s="27"/>
      <c r="R181" s="28"/>
      <c r="S181" s="28"/>
      <c r="T181" s="27"/>
    </row>
    <row r="182" spans="1:23" x14ac:dyDescent="0.35">
      <c r="A182" s="28"/>
      <c r="B182" s="24"/>
      <c r="C182" s="25"/>
      <c r="D182" s="31"/>
      <c r="E182" s="25"/>
      <c r="F182" s="25"/>
      <c r="G182" s="28"/>
      <c r="H182" s="25"/>
      <c r="I182" s="25"/>
      <c r="J182" s="28"/>
      <c r="K182" s="29"/>
      <c r="L182" s="29"/>
      <c r="M182" s="29"/>
      <c r="N182" s="28"/>
      <c r="O182" s="28"/>
      <c r="P182" s="28"/>
      <c r="Q182" s="27"/>
      <c r="R182" s="28"/>
      <c r="S182" s="28"/>
      <c r="T182" s="27"/>
    </row>
    <row r="183" spans="1:23" x14ac:dyDescent="0.35">
      <c r="A183" s="28"/>
      <c r="B183" s="24"/>
      <c r="C183" s="25"/>
      <c r="D183" s="31"/>
      <c r="E183" s="25"/>
      <c r="F183" s="25"/>
      <c r="G183" s="28"/>
      <c r="H183" s="25"/>
      <c r="I183" s="25"/>
      <c r="J183" s="28"/>
      <c r="K183" s="29"/>
      <c r="L183" s="29"/>
      <c r="M183" s="29"/>
      <c r="N183" s="28"/>
      <c r="O183" s="28"/>
      <c r="P183" s="28"/>
      <c r="Q183" s="27"/>
      <c r="R183" s="28"/>
      <c r="S183" s="28"/>
      <c r="T183" s="27"/>
    </row>
    <row r="184" spans="1:23" x14ac:dyDescent="0.35">
      <c r="A184" s="28"/>
      <c r="B184" s="24"/>
      <c r="C184" s="25"/>
      <c r="D184" s="31"/>
      <c r="E184" s="25"/>
      <c r="F184" s="25"/>
      <c r="G184" s="28"/>
      <c r="H184" s="25"/>
      <c r="I184" s="25"/>
      <c r="J184" s="28"/>
      <c r="K184" s="29"/>
      <c r="L184" s="29"/>
      <c r="M184" s="29"/>
      <c r="N184" s="28"/>
      <c r="O184" s="28"/>
      <c r="P184" s="28"/>
      <c r="Q184" s="27"/>
      <c r="R184" s="28"/>
      <c r="S184" s="28"/>
      <c r="T184" s="27"/>
    </row>
    <row r="185" spans="1:23" x14ac:dyDescent="0.35">
      <c r="A185" s="28"/>
      <c r="B185" s="24"/>
      <c r="C185" s="25"/>
      <c r="D185" s="31"/>
      <c r="E185" s="25"/>
      <c r="F185" s="25"/>
      <c r="G185" s="28"/>
      <c r="H185" s="25"/>
      <c r="I185" s="25"/>
      <c r="J185" s="28"/>
      <c r="K185" s="29"/>
      <c r="L185" s="29"/>
      <c r="M185" s="29"/>
      <c r="N185" s="28"/>
      <c r="O185" s="28"/>
      <c r="P185" s="28"/>
      <c r="Q185" s="27"/>
      <c r="R185" s="28"/>
      <c r="S185" s="28"/>
      <c r="T185" s="27"/>
    </row>
    <row r="186" spans="1:23" x14ac:dyDescent="0.35">
      <c r="A186" s="28"/>
      <c r="B186" s="24"/>
      <c r="C186" s="25"/>
      <c r="D186" s="31"/>
      <c r="E186" s="25"/>
      <c r="F186" s="25"/>
      <c r="G186" s="28"/>
      <c r="H186" s="25"/>
      <c r="I186" s="25"/>
      <c r="J186" s="28"/>
      <c r="K186" s="29"/>
      <c r="L186" s="29"/>
      <c r="M186" s="29"/>
      <c r="N186" s="28"/>
      <c r="O186" s="28"/>
      <c r="P186" s="28"/>
      <c r="Q186" s="27"/>
      <c r="R186" s="28"/>
      <c r="S186" s="28"/>
      <c r="T186" s="27"/>
    </row>
    <row r="187" spans="1:23" x14ac:dyDescent="0.35">
      <c r="A187" s="28"/>
      <c r="B187" s="24"/>
      <c r="C187" s="25"/>
      <c r="D187" s="31"/>
      <c r="E187" s="25"/>
      <c r="F187" s="25"/>
      <c r="G187" s="28"/>
      <c r="H187" s="25"/>
      <c r="I187" s="25"/>
      <c r="J187" s="28"/>
      <c r="K187" s="29"/>
      <c r="L187" s="29"/>
      <c r="M187" s="29"/>
      <c r="N187" s="28"/>
      <c r="O187" s="28"/>
      <c r="P187" s="28"/>
      <c r="Q187" s="27"/>
      <c r="R187" s="28"/>
      <c r="S187" s="28"/>
      <c r="T187" s="27"/>
    </row>
    <row r="188" spans="1:23" x14ac:dyDescent="0.35">
      <c r="A188" s="28"/>
      <c r="B188" s="24"/>
      <c r="C188" s="25"/>
      <c r="D188" s="31"/>
      <c r="E188" s="25"/>
      <c r="F188" s="25"/>
      <c r="G188" s="28"/>
      <c r="H188" s="25"/>
      <c r="I188" s="25"/>
      <c r="J188" s="28"/>
      <c r="K188" s="29"/>
      <c r="L188" s="29"/>
      <c r="M188" s="29"/>
      <c r="N188" s="28"/>
      <c r="O188" s="28"/>
      <c r="P188" s="28"/>
      <c r="Q188" s="27"/>
      <c r="R188" s="28"/>
      <c r="S188" s="28"/>
      <c r="T188" s="27"/>
    </row>
    <row r="189" spans="1:23" x14ac:dyDescent="0.35">
      <c r="A189" s="28"/>
      <c r="B189" s="24"/>
      <c r="C189" s="25"/>
      <c r="D189" s="31"/>
      <c r="E189" s="25"/>
      <c r="F189" s="25"/>
      <c r="G189" s="28"/>
      <c r="H189" s="25"/>
      <c r="I189" s="25"/>
      <c r="J189" s="28"/>
      <c r="K189" s="29"/>
      <c r="L189" s="29"/>
      <c r="M189" s="29"/>
      <c r="N189" s="28"/>
      <c r="O189" s="28"/>
      <c r="P189" s="28"/>
      <c r="Q189" s="27"/>
      <c r="R189" s="28"/>
      <c r="S189" s="28"/>
      <c r="T189" s="27"/>
    </row>
    <row r="190" spans="1:23" x14ac:dyDescent="0.35">
      <c r="A190" s="28"/>
      <c r="B190" s="24"/>
      <c r="C190" s="25"/>
      <c r="D190" s="31"/>
      <c r="E190" s="25"/>
      <c r="F190" s="25"/>
      <c r="G190" s="28"/>
      <c r="H190" s="25"/>
      <c r="I190" s="25"/>
      <c r="J190" s="28"/>
      <c r="K190" s="29"/>
      <c r="L190" s="29"/>
      <c r="M190" s="29"/>
      <c r="N190" s="28"/>
      <c r="O190" s="28"/>
      <c r="P190" s="28"/>
      <c r="Q190" s="27"/>
      <c r="R190" s="28"/>
      <c r="S190" s="28"/>
      <c r="T190" s="27"/>
    </row>
    <row r="191" spans="1:23" x14ac:dyDescent="0.35">
      <c r="A191" s="28"/>
      <c r="B191" s="24"/>
      <c r="C191" s="25"/>
      <c r="D191" s="31"/>
      <c r="E191" s="25"/>
      <c r="F191" s="25"/>
      <c r="G191" s="28"/>
      <c r="H191" s="25"/>
      <c r="I191" s="25"/>
      <c r="J191" s="28"/>
      <c r="K191" s="29"/>
      <c r="L191" s="29"/>
      <c r="M191" s="29"/>
      <c r="N191" s="28"/>
      <c r="O191" s="28"/>
      <c r="P191" s="28"/>
      <c r="Q191" s="27"/>
      <c r="R191" s="28"/>
      <c r="S191" s="28"/>
      <c r="T191" s="27"/>
    </row>
    <row r="192" spans="1:23" x14ac:dyDescent="0.35">
      <c r="A192" s="32"/>
      <c r="B192" s="33"/>
      <c r="C192" s="34"/>
      <c r="D192" s="35"/>
      <c r="E192" s="34"/>
      <c r="F192" s="34"/>
      <c r="G192" s="32"/>
      <c r="H192" s="34"/>
      <c r="I192" s="34"/>
      <c r="J192" s="32"/>
      <c r="K192" s="36"/>
      <c r="L192" s="36"/>
      <c r="M192" s="36"/>
      <c r="N192" s="32"/>
      <c r="O192" s="32"/>
      <c r="P192" s="32"/>
      <c r="Q192" s="37"/>
      <c r="R192" s="32"/>
      <c r="S192" s="32"/>
      <c r="T192" s="37"/>
      <c r="U192" t="e">
        <v>#VALUE!</v>
      </c>
      <c r="V192" t="e">
        <v>#VALUE!</v>
      </c>
      <c r="W192" t="e">
        <v>#VALUE!</v>
      </c>
    </row>
    <row r="193" spans="1:23" x14ac:dyDescent="0.35">
      <c r="A193" s="28"/>
      <c r="B193" s="24"/>
      <c r="C193" s="25"/>
      <c r="D193" s="31"/>
      <c r="E193" s="25"/>
      <c r="F193" s="25"/>
      <c r="G193" s="28"/>
      <c r="H193" s="25"/>
      <c r="I193" s="25"/>
      <c r="J193" s="28"/>
      <c r="K193" s="29"/>
      <c r="L193" s="29"/>
      <c r="M193" s="29"/>
      <c r="N193" s="28"/>
      <c r="O193" s="28"/>
      <c r="P193" s="28"/>
      <c r="Q193" s="27"/>
      <c r="R193" s="28"/>
      <c r="S193" s="28"/>
      <c r="T193" s="27"/>
      <c r="U193" t="e">
        <v>#VALUE!</v>
      </c>
      <c r="V193" t="e">
        <v>#VALUE!</v>
      </c>
      <c r="W193" t="e">
        <v>#VALUE!</v>
      </c>
    </row>
    <row r="194" spans="1:23" x14ac:dyDescent="0.35">
      <c r="A194" s="28"/>
      <c r="B194" s="24"/>
      <c r="C194" s="25"/>
      <c r="D194" s="31"/>
      <c r="E194" s="25"/>
      <c r="F194" s="25"/>
      <c r="G194" s="28"/>
      <c r="H194" s="25"/>
      <c r="I194" s="25"/>
      <c r="J194" s="28"/>
      <c r="K194" s="29"/>
      <c r="L194" s="29"/>
      <c r="M194" s="29"/>
      <c r="N194" s="28"/>
      <c r="O194" s="28"/>
      <c r="P194" s="28"/>
      <c r="Q194" s="27"/>
      <c r="R194" s="28"/>
      <c r="S194" s="28"/>
      <c r="T194" s="27"/>
      <c r="U194" t="e">
        <v>#VALUE!</v>
      </c>
      <c r="V194" t="e">
        <v>#VALUE!</v>
      </c>
      <c r="W194" t="e">
        <v>#VALUE!</v>
      </c>
    </row>
    <row r="195" spans="1:23" x14ac:dyDescent="0.35">
      <c r="A195" s="28"/>
      <c r="B195" s="24"/>
      <c r="C195" s="25"/>
      <c r="D195" s="31"/>
      <c r="E195" s="25"/>
      <c r="F195" s="25"/>
      <c r="G195" s="28"/>
      <c r="H195" s="25"/>
      <c r="I195" s="25"/>
      <c r="J195" s="28"/>
      <c r="K195" s="29"/>
      <c r="L195" s="29"/>
      <c r="M195" s="29"/>
      <c r="N195" s="28"/>
      <c r="O195" s="28"/>
      <c r="P195" s="28"/>
      <c r="Q195" s="27"/>
      <c r="R195" s="28"/>
      <c r="S195" s="28"/>
      <c r="T195" s="27"/>
    </row>
    <row r="196" spans="1:23" x14ac:dyDescent="0.35">
      <c r="A196" s="28"/>
      <c r="B196" s="24"/>
      <c r="C196" s="25"/>
      <c r="D196" s="31"/>
      <c r="E196" s="25"/>
      <c r="F196" s="25"/>
      <c r="G196" s="28"/>
      <c r="H196" s="25"/>
      <c r="I196" s="25"/>
      <c r="J196" s="28"/>
      <c r="K196" s="29"/>
      <c r="L196" s="29"/>
      <c r="M196" s="29"/>
      <c r="N196" s="28"/>
      <c r="O196" s="28"/>
      <c r="P196" s="28"/>
      <c r="Q196" s="27"/>
      <c r="R196" s="28"/>
      <c r="S196" s="28"/>
      <c r="T196" s="27"/>
    </row>
    <row r="197" spans="1:23" x14ac:dyDescent="0.35">
      <c r="A197" s="28"/>
      <c r="B197" s="24"/>
      <c r="C197" s="25"/>
      <c r="D197" s="31"/>
      <c r="E197" s="25"/>
      <c r="F197" s="25"/>
      <c r="G197" s="28"/>
      <c r="H197" s="25"/>
      <c r="I197" s="25"/>
      <c r="J197" s="28"/>
      <c r="K197" s="29"/>
      <c r="L197" s="29"/>
      <c r="M197" s="29"/>
      <c r="N197" s="28"/>
      <c r="O197" s="28"/>
      <c r="P197" s="28"/>
      <c r="Q197" s="27"/>
      <c r="R197" s="28"/>
      <c r="S197" s="28"/>
      <c r="T197" s="27"/>
    </row>
    <row r="198" spans="1:23" x14ac:dyDescent="0.35">
      <c r="A198" s="28"/>
      <c r="B198" s="24"/>
      <c r="C198" s="25"/>
      <c r="D198" s="31"/>
      <c r="E198" s="25"/>
      <c r="F198" s="25"/>
      <c r="G198" s="28"/>
      <c r="H198" s="25"/>
      <c r="I198" s="25"/>
      <c r="J198" s="28"/>
      <c r="K198" s="29"/>
      <c r="L198" s="29"/>
      <c r="M198" s="29"/>
      <c r="N198" s="28"/>
      <c r="O198" s="28"/>
      <c r="P198" s="28"/>
      <c r="Q198" s="27"/>
      <c r="R198" s="28"/>
      <c r="S198" s="28"/>
      <c r="T198" s="27"/>
    </row>
    <row r="199" spans="1:23" x14ac:dyDescent="0.35">
      <c r="A199" s="28"/>
      <c r="B199" s="24"/>
      <c r="C199" s="25"/>
      <c r="D199" s="31"/>
      <c r="E199" s="25"/>
      <c r="F199" s="25"/>
      <c r="G199" s="28"/>
      <c r="H199" s="25"/>
      <c r="I199" s="25"/>
      <c r="J199" s="28"/>
      <c r="K199" s="29"/>
      <c r="L199" s="29"/>
      <c r="M199" s="29"/>
      <c r="N199" s="28"/>
      <c r="O199" s="28"/>
      <c r="P199" s="28"/>
      <c r="Q199" s="27"/>
      <c r="R199" s="28"/>
      <c r="S199" s="28"/>
      <c r="T199" s="27"/>
    </row>
    <row r="200" spans="1:23" x14ac:dyDescent="0.35">
      <c r="A200" s="28"/>
      <c r="B200" s="24"/>
      <c r="C200" s="25"/>
      <c r="D200" s="31"/>
      <c r="E200" s="25"/>
      <c r="F200" s="25"/>
      <c r="G200" s="28"/>
      <c r="H200" s="25"/>
      <c r="I200" s="25"/>
      <c r="J200" s="28"/>
      <c r="K200" s="29"/>
      <c r="L200" s="29"/>
      <c r="M200" s="29"/>
      <c r="N200" s="28"/>
      <c r="O200" s="28"/>
      <c r="P200" s="28"/>
      <c r="Q200" s="27"/>
      <c r="R200" s="28"/>
      <c r="S200" s="28"/>
      <c r="T200" s="27"/>
    </row>
    <row r="201" spans="1:23" x14ac:dyDescent="0.35">
      <c r="A201" s="28"/>
      <c r="B201" s="24"/>
      <c r="C201" s="25"/>
      <c r="D201" s="31"/>
      <c r="E201" s="25"/>
      <c r="F201" s="25"/>
      <c r="G201" s="28"/>
      <c r="H201" s="25"/>
      <c r="I201" s="25"/>
      <c r="J201" s="28"/>
      <c r="K201" s="29"/>
      <c r="L201" s="29"/>
      <c r="M201" s="29"/>
      <c r="N201" s="28"/>
      <c r="O201" s="28"/>
      <c r="P201" s="28"/>
      <c r="Q201" s="27"/>
      <c r="R201" s="28"/>
      <c r="S201" s="28"/>
      <c r="T201" s="27"/>
    </row>
    <row r="202" spans="1:23" x14ac:dyDescent="0.35">
      <c r="A202" s="28"/>
      <c r="B202" s="24"/>
      <c r="C202" s="25"/>
      <c r="D202" s="31"/>
      <c r="E202" s="25"/>
      <c r="F202" s="25"/>
      <c r="G202" s="28"/>
      <c r="H202" s="25"/>
      <c r="I202" s="25"/>
      <c r="J202" s="28"/>
      <c r="K202" s="29"/>
      <c r="L202" s="29"/>
      <c r="M202" s="29"/>
      <c r="N202" s="28"/>
      <c r="O202" s="28"/>
      <c r="P202" s="28"/>
      <c r="Q202" s="27"/>
      <c r="R202" s="28"/>
      <c r="S202" s="28"/>
      <c r="T202" s="27"/>
    </row>
    <row r="203" spans="1:23" x14ac:dyDescent="0.35">
      <c r="A203" s="28"/>
      <c r="B203" s="24"/>
      <c r="C203" s="25"/>
      <c r="D203" s="31"/>
      <c r="E203" s="25"/>
      <c r="F203" s="25"/>
      <c r="G203" s="28"/>
      <c r="H203" s="25"/>
      <c r="I203" s="25"/>
      <c r="J203" s="28"/>
      <c r="K203" s="29"/>
      <c r="L203" s="29"/>
      <c r="M203" s="29"/>
      <c r="N203" s="28"/>
      <c r="O203" s="28"/>
      <c r="P203" s="28"/>
      <c r="Q203" s="27"/>
      <c r="R203" s="28"/>
      <c r="S203" s="28"/>
      <c r="T203" s="27"/>
    </row>
    <row r="204" spans="1:23" x14ac:dyDescent="0.35">
      <c r="A204" s="28"/>
      <c r="B204" s="24"/>
      <c r="C204" s="25"/>
      <c r="D204" s="31"/>
      <c r="E204" s="25"/>
      <c r="F204" s="25"/>
      <c r="G204" s="28"/>
      <c r="H204" s="25"/>
      <c r="I204" s="25"/>
      <c r="J204" s="28"/>
      <c r="K204" s="29"/>
      <c r="L204" s="29"/>
      <c r="M204" s="29"/>
      <c r="N204" s="28"/>
      <c r="O204" s="28"/>
      <c r="P204" s="28"/>
      <c r="Q204" s="27"/>
      <c r="R204" s="28"/>
      <c r="S204" s="28"/>
      <c r="T204" s="27"/>
    </row>
    <row r="205" spans="1:23" x14ac:dyDescent="0.35">
      <c r="A205" s="28"/>
      <c r="B205" s="24"/>
      <c r="C205" s="25"/>
      <c r="D205" s="31"/>
      <c r="E205" s="25"/>
      <c r="F205" s="25"/>
      <c r="G205" s="28"/>
      <c r="H205" s="25"/>
      <c r="I205" s="25"/>
      <c r="J205" s="28"/>
      <c r="K205" s="29"/>
      <c r="L205" s="29"/>
      <c r="M205" s="29"/>
      <c r="N205" s="28"/>
      <c r="O205" s="28"/>
      <c r="P205" s="28"/>
      <c r="Q205" s="27"/>
      <c r="R205" s="28"/>
      <c r="S205" s="28"/>
      <c r="T205" s="27"/>
    </row>
    <row r="206" spans="1:23" x14ac:dyDescent="0.35">
      <c r="A206" s="28"/>
      <c r="B206" s="24"/>
      <c r="C206" s="25"/>
      <c r="D206" s="31"/>
      <c r="E206" s="25"/>
      <c r="F206" s="25"/>
      <c r="G206" s="28"/>
      <c r="H206" s="25"/>
      <c r="I206" s="25"/>
      <c r="J206" s="28"/>
      <c r="K206" s="29"/>
      <c r="L206" s="29"/>
      <c r="M206" s="29"/>
      <c r="N206" s="28"/>
      <c r="O206" s="28"/>
      <c r="P206" s="28"/>
      <c r="Q206" s="27"/>
      <c r="R206" s="28"/>
      <c r="S206" s="28"/>
      <c r="T206" s="27"/>
    </row>
    <row r="207" spans="1:23" x14ac:dyDescent="0.35">
      <c r="A207" s="28"/>
      <c r="B207" s="24"/>
      <c r="C207" s="25"/>
      <c r="D207" s="31"/>
      <c r="E207" s="25"/>
      <c r="F207" s="25"/>
      <c r="G207" s="28"/>
      <c r="H207" s="25"/>
      <c r="I207" s="25"/>
      <c r="J207" s="28"/>
      <c r="K207" s="29"/>
      <c r="L207" s="29"/>
      <c r="M207" s="29"/>
      <c r="N207" s="28"/>
      <c r="O207" s="28"/>
      <c r="P207" s="28"/>
      <c r="Q207" s="27"/>
      <c r="R207" s="28"/>
      <c r="S207" s="28"/>
      <c r="T207" s="27"/>
    </row>
    <row r="208" spans="1:23" x14ac:dyDescent="0.35">
      <c r="A208" s="28"/>
      <c r="B208" s="24"/>
      <c r="C208" s="25"/>
      <c r="D208" s="31"/>
      <c r="E208" s="25"/>
      <c r="F208" s="25"/>
      <c r="G208" s="28"/>
      <c r="H208" s="25"/>
      <c r="I208" s="25"/>
      <c r="J208" s="28"/>
      <c r="K208" s="29"/>
      <c r="L208" s="29"/>
      <c r="M208" s="29"/>
      <c r="N208" s="28"/>
      <c r="O208" s="28"/>
      <c r="P208" s="28"/>
      <c r="Q208" s="27"/>
      <c r="R208" s="28"/>
      <c r="S208" s="28"/>
      <c r="T208" s="27"/>
    </row>
    <row r="209" spans="1:20" x14ac:dyDescent="0.35">
      <c r="A209" s="28"/>
      <c r="B209" s="24"/>
      <c r="C209" s="25"/>
      <c r="D209" s="31"/>
      <c r="E209" s="25"/>
      <c r="F209" s="25"/>
      <c r="G209" s="28"/>
      <c r="H209" s="25"/>
      <c r="I209" s="25"/>
      <c r="J209" s="28"/>
      <c r="K209" s="29"/>
      <c r="L209" s="29"/>
      <c r="M209" s="29"/>
      <c r="N209" s="28"/>
      <c r="O209" s="28"/>
      <c r="P209" s="28"/>
      <c r="Q209" s="27"/>
      <c r="R209" s="28"/>
      <c r="S209" s="28"/>
      <c r="T209" s="27"/>
    </row>
    <row r="210" spans="1:20" x14ac:dyDescent="0.35">
      <c r="A210" s="28"/>
      <c r="B210" s="24"/>
      <c r="C210" s="25"/>
      <c r="D210" s="31"/>
      <c r="E210" s="25"/>
      <c r="F210" s="25"/>
      <c r="G210" s="28"/>
      <c r="H210" s="25"/>
      <c r="I210" s="25"/>
      <c r="J210" s="28"/>
      <c r="K210" s="29"/>
      <c r="L210" s="29"/>
      <c r="M210" s="29"/>
      <c r="N210" s="28"/>
      <c r="O210" s="28"/>
      <c r="P210" s="28"/>
      <c r="Q210" s="27"/>
      <c r="R210" s="28"/>
      <c r="S210" s="28"/>
      <c r="T210" s="27"/>
    </row>
    <row r="211" spans="1:20" x14ac:dyDescent="0.35">
      <c r="A211" s="28"/>
      <c r="B211" s="24"/>
      <c r="C211" s="25"/>
      <c r="D211" s="31"/>
      <c r="E211" s="25"/>
      <c r="F211" s="25"/>
      <c r="G211" s="28"/>
      <c r="H211" s="25"/>
      <c r="I211" s="25"/>
      <c r="J211" s="28"/>
      <c r="K211" s="29"/>
      <c r="L211" s="29"/>
      <c r="M211" s="29"/>
      <c r="N211" s="28"/>
      <c r="O211" s="28"/>
      <c r="P211" s="28"/>
      <c r="Q211" s="27"/>
      <c r="R211" s="28"/>
      <c r="S211" s="28"/>
      <c r="T211" s="27"/>
    </row>
    <row r="212" spans="1:20" x14ac:dyDescent="0.35">
      <c r="A212" s="28"/>
      <c r="B212" s="24"/>
      <c r="C212" s="25"/>
      <c r="D212" s="31"/>
      <c r="E212" s="25"/>
      <c r="F212" s="25"/>
      <c r="G212" s="28"/>
      <c r="H212" s="25"/>
      <c r="I212" s="25"/>
      <c r="J212" s="28"/>
      <c r="K212" s="29"/>
      <c r="L212" s="29"/>
      <c r="M212" s="29"/>
      <c r="N212" s="28"/>
      <c r="O212" s="28"/>
      <c r="P212" s="28"/>
      <c r="Q212" s="27"/>
      <c r="R212" s="28"/>
      <c r="S212" s="28"/>
      <c r="T212" s="27"/>
    </row>
    <row r="213" spans="1:20" x14ac:dyDescent="0.35">
      <c r="A213" s="28"/>
      <c r="B213" s="24"/>
      <c r="C213" s="25"/>
      <c r="D213" s="31"/>
      <c r="E213" s="25"/>
      <c r="F213" s="25"/>
      <c r="G213" s="28"/>
      <c r="H213" s="25"/>
      <c r="I213" s="25"/>
      <c r="J213" s="28"/>
      <c r="K213" s="29"/>
      <c r="L213" s="29"/>
      <c r="M213" s="29"/>
      <c r="N213" s="28"/>
      <c r="O213" s="28"/>
      <c r="P213" s="28"/>
      <c r="Q213" s="27"/>
      <c r="R213" s="28"/>
      <c r="S213" s="28"/>
      <c r="T213" s="27"/>
    </row>
    <row r="214" spans="1:20" x14ac:dyDescent="0.35">
      <c r="A214" s="28"/>
      <c r="B214" s="24"/>
      <c r="C214" s="25"/>
      <c r="D214" s="31"/>
      <c r="E214" s="25"/>
      <c r="F214" s="25"/>
      <c r="G214" s="28"/>
      <c r="H214" s="25"/>
      <c r="I214" s="25"/>
      <c r="J214" s="28"/>
      <c r="K214" s="29"/>
      <c r="L214" s="29"/>
      <c r="M214" s="29"/>
      <c r="N214" s="28"/>
      <c r="O214" s="28"/>
      <c r="P214" s="28"/>
      <c r="Q214" s="27"/>
      <c r="R214" s="28"/>
      <c r="S214" s="28"/>
      <c r="T214" s="27"/>
    </row>
    <row r="215" spans="1:20" x14ac:dyDescent="0.35">
      <c r="A215" s="28"/>
      <c r="B215" s="24"/>
      <c r="C215" s="25"/>
      <c r="D215" s="31"/>
      <c r="E215" s="25"/>
      <c r="F215" s="25"/>
      <c r="G215" s="28"/>
      <c r="H215" s="25"/>
      <c r="I215" s="25"/>
      <c r="J215" s="28"/>
      <c r="K215" s="29"/>
      <c r="L215" s="29"/>
      <c r="M215" s="29"/>
      <c r="N215" s="28"/>
      <c r="O215" s="28"/>
      <c r="P215" s="28"/>
      <c r="Q215" s="27"/>
      <c r="R215" s="28"/>
      <c r="S215" s="28"/>
      <c r="T215" s="27"/>
    </row>
    <row r="216" spans="1:20" x14ac:dyDescent="0.35">
      <c r="A216" s="28"/>
      <c r="B216" s="24"/>
      <c r="C216" s="25"/>
      <c r="D216" s="31"/>
      <c r="E216" s="25"/>
      <c r="F216" s="25"/>
      <c r="G216" s="28"/>
      <c r="H216" s="25"/>
      <c r="I216" s="25"/>
      <c r="J216" s="28"/>
      <c r="K216" s="29"/>
      <c r="L216" s="29"/>
      <c r="M216" s="29"/>
      <c r="N216" s="28"/>
      <c r="O216" s="28"/>
      <c r="P216" s="28"/>
      <c r="Q216" s="27"/>
      <c r="R216" s="28"/>
      <c r="S216" s="28"/>
      <c r="T216" s="27"/>
    </row>
    <row r="217" spans="1:20" x14ac:dyDescent="0.35">
      <c r="A217" s="28"/>
      <c r="B217" s="24"/>
      <c r="C217" s="25"/>
      <c r="D217" s="31"/>
      <c r="E217" s="25"/>
      <c r="F217" s="25"/>
      <c r="G217" s="28"/>
      <c r="H217" s="25"/>
      <c r="I217" s="25"/>
      <c r="J217" s="28"/>
      <c r="K217" s="29"/>
      <c r="L217" s="29"/>
      <c r="M217" s="29"/>
      <c r="N217" s="28"/>
      <c r="O217" s="28"/>
      <c r="P217" s="28"/>
      <c r="Q217" s="27"/>
      <c r="R217" s="28"/>
      <c r="S217" s="28"/>
      <c r="T217" s="27"/>
    </row>
    <row r="218" spans="1:20" x14ac:dyDescent="0.35">
      <c r="A218" s="28"/>
      <c r="B218" s="24"/>
      <c r="C218" s="25"/>
      <c r="D218" s="31"/>
      <c r="E218" s="25"/>
      <c r="F218" s="25"/>
      <c r="G218" s="28"/>
      <c r="H218" s="25"/>
      <c r="I218" s="25"/>
      <c r="J218" s="28"/>
      <c r="K218" s="29"/>
      <c r="L218" s="29"/>
      <c r="M218" s="29"/>
      <c r="N218" s="28"/>
      <c r="O218" s="28"/>
      <c r="P218" s="28"/>
      <c r="Q218" s="27"/>
      <c r="R218" s="28"/>
      <c r="S218" s="28"/>
      <c r="T218" s="27"/>
    </row>
    <row r="219" spans="1:20" x14ac:dyDescent="0.35">
      <c r="A219" s="28"/>
      <c r="B219" s="24"/>
      <c r="C219" s="25"/>
      <c r="D219" s="31"/>
      <c r="E219" s="25"/>
      <c r="F219" s="25"/>
      <c r="G219" s="28"/>
      <c r="H219" s="25"/>
      <c r="I219" s="25"/>
      <c r="J219" s="28"/>
      <c r="K219" s="29"/>
      <c r="L219" s="29"/>
      <c r="M219" s="29"/>
      <c r="N219" s="28"/>
      <c r="O219" s="28"/>
      <c r="P219" s="28"/>
      <c r="Q219" s="27"/>
      <c r="R219" s="28"/>
      <c r="S219" s="28"/>
      <c r="T219" s="27"/>
    </row>
    <row r="220" spans="1:20" x14ac:dyDescent="0.35">
      <c r="A220" s="28"/>
      <c r="B220" s="24"/>
      <c r="C220" s="25"/>
      <c r="D220" s="31"/>
      <c r="E220" s="25"/>
      <c r="F220" s="25"/>
      <c r="G220" s="28"/>
      <c r="H220" s="25"/>
      <c r="I220" s="25"/>
      <c r="J220" s="28"/>
      <c r="K220" s="29"/>
      <c r="L220" s="29"/>
      <c r="M220" s="29"/>
      <c r="N220" s="28"/>
      <c r="O220" s="28"/>
      <c r="P220" s="28"/>
      <c r="Q220" s="27"/>
      <c r="R220" s="28"/>
      <c r="S220" s="28"/>
      <c r="T220" s="27"/>
    </row>
    <row r="221" spans="1:20" x14ac:dyDescent="0.35">
      <c r="A221" s="28"/>
      <c r="B221" s="24"/>
      <c r="C221" s="25"/>
      <c r="D221" s="31"/>
      <c r="E221" s="25"/>
      <c r="F221" s="25"/>
      <c r="G221" s="28"/>
      <c r="H221" s="25"/>
      <c r="I221" s="25"/>
      <c r="J221" s="28"/>
      <c r="K221" s="29"/>
      <c r="L221" s="29"/>
      <c r="M221" s="29"/>
      <c r="N221" s="28"/>
      <c r="O221" s="28"/>
      <c r="P221" s="28"/>
      <c r="Q221" s="27"/>
      <c r="R221" s="28"/>
      <c r="S221" s="28"/>
      <c r="T221" s="27"/>
    </row>
    <row r="222" spans="1:20" x14ac:dyDescent="0.35">
      <c r="A222" s="28"/>
      <c r="B222" s="24"/>
      <c r="C222" s="25"/>
      <c r="D222" s="31"/>
      <c r="E222" s="25"/>
      <c r="F222" s="25"/>
      <c r="G222" s="28"/>
      <c r="H222" s="25"/>
      <c r="I222" s="25"/>
      <c r="J222" s="28"/>
      <c r="K222" s="29"/>
      <c r="L222" s="29"/>
      <c r="M222" s="29"/>
      <c r="N222" s="28"/>
      <c r="O222" s="28"/>
      <c r="P222" s="28"/>
      <c r="Q222" s="27"/>
      <c r="R222" s="28"/>
      <c r="S222" s="28"/>
      <c r="T222" s="27"/>
    </row>
    <row r="223" spans="1:20" x14ac:dyDescent="0.35">
      <c r="A223" s="28"/>
      <c r="B223" s="24"/>
      <c r="C223" s="25"/>
      <c r="D223" s="31"/>
      <c r="E223" s="25"/>
      <c r="F223" s="25"/>
      <c r="G223" s="28"/>
      <c r="H223" s="25"/>
      <c r="I223" s="25"/>
      <c r="J223" s="28"/>
      <c r="K223" s="29"/>
      <c r="L223" s="29"/>
      <c r="M223" s="29"/>
      <c r="N223" s="28"/>
      <c r="O223" s="28"/>
      <c r="P223" s="28"/>
      <c r="Q223" s="27"/>
      <c r="R223" s="28"/>
      <c r="S223" s="28"/>
      <c r="T223" s="27"/>
    </row>
    <row r="224" spans="1:20" x14ac:dyDescent="0.35">
      <c r="A224" s="28"/>
      <c r="B224" s="24"/>
      <c r="C224" s="25"/>
      <c r="D224" s="31"/>
      <c r="E224" s="25"/>
      <c r="F224" s="25"/>
      <c r="G224" s="28"/>
      <c r="H224" s="25"/>
      <c r="I224" s="25"/>
      <c r="J224" s="28"/>
      <c r="K224" s="29"/>
      <c r="L224" s="29"/>
      <c r="M224" s="29"/>
      <c r="N224" s="28"/>
      <c r="O224" s="28"/>
      <c r="P224" s="28"/>
      <c r="Q224" s="27"/>
      <c r="R224" s="28"/>
      <c r="S224" s="28"/>
      <c r="T224" s="27"/>
    </row>
    <row r="225" spans="1:20" x14ac:dyDescent="0.35">
      <c r="A225" s="28"/>
      <c r="B225" s="24"/>
      <c r="C225" s="25"/>
      <c r="D225" s="31"/>
      <c r="E225" s="25"/>
      <c r="F225" s="25"/>
      <c r="G225" s="28"/>
      <c r="H225" s="25"/>
      <c r="I225" s="25"/>
      <c r="J225" s="28"/>
      <c r="K225" s="29"/>
      <c r="L225" s="29"/>
      <c r="M225" s="29"/>
      <c r="N225" s="28"/>
      <c r="O225" s="28"/>
      <c r="P225" s="28"/>
      <c r="Q225" s="27"/>
      <c r="R225" s="28"/>
      <c r="S225" s="28"/>
      <c r="T225" s="27"/>
    </row>
    <row r="226" spans="1:20" x14ac:dyDescent="0.35">
      <c r="A226" s="28"/>
      <c r="B226" s="24"/>
      <c r="C226" s="25"/>
      <c r="D226" s="31"/>
      <c r="E226" s="25"/>
      <c r="F226" s="25"/>
      <c r="G226" s="28"/>
      <c r="H226" s="25"/>
      <c r="I226" s="25"/>
      <c r="J226" s="28"/>
      <c r="K226" s="29"/>
      <c r="L226" s="29"/>
      <c r="M226" s="29"/>
      <c r="N226" s="28"/>
      <c r="O226" s="28"/>
      <c r="P226" s="28"/>
      <c r="Q226" s="27"/>
      <c r="R226" s="28"/>
      <c r="S226" s="28"/>
      <c r="T226" s="27"/>
    </row>
    <row r="227" spans="1:20" x14ac:dyDescent="0.35">
      <c r="A227" s="28"/>
      <c r="B227" s="24"/>
      <c r="C227" s="25"/>
      <c r="D227" s="31"/>
      <c r="E227" s="25"/>
      <c r="F227" s="25"/>
      <c r="G227" s="28"/>
      <c r="H227" s="25"/>
      <c r="I227" s="25"/>
      <c r="J227" s="28"/>
      <c r="K227" s="29"/>
      <c r="L227" s="29"/>
      <c r="M227" s="29"/>
      <c r="N227" s="28"/>
      <c r="O227" s="28"/>
      <c r="P227" s="28"/>
      <c r="Q227" s="27"/>
      <c r="R227" s="28"/>
      <c r="S227" s="28"/>
      <c r="T227" s="27"/>
    </row>
    <row r="228" spans="1:20" x14ac:dyDescent="0.35">
      <c r="A228" s="28"/>
      <c r="B228" s="24"/>
      <c r="C228" s="25"/>
      <c r="D228" s="31"/>
      <c r="E228" s="25"/>
      <c r="F228" s="25"/>
      <c r="G228" s="28"/>
      <c r="H228" s="25"/>
      <c r="I228" s="25"/>
      <c r="J228" s="28"/>
      <c r="K228" s="29"/>
      <c r="L228" s="29"/>
      <c r="M228" s="29"/>
      <c r="N228" s="28"/>
      <c r="O228" s="28"/>
      <c r="P228" s="28"/>
      <c r="Q228" s="27"/>
      <c r="R228" s="28"/>
      <c r="S228" s="28"/>
      <c r="T228" s="27"/>
    </row>
    <row r="229" spans="1:20" x14ac:dyDescent="0.35">
      <c r="A229" s="28"/>
      <c r="B229" s="24"/>
      <c r="C229" s="25"/>
      <c r="D229" s="31"/>
      <c r="E229" s="25"/>
      <c r="F229" s="25"/>
      <c r="G229" s="28"/>
      <c r="H229" s="25"/>
      <c r="I229" s="25"/>
      <c r="J229" s="28"/>
      <c r="K229" s="29"/>
      <c r="L229" s="29"/>
      <c r="M229" s="29"/>
      <c r="N229" s="28"/>
      <c r="O229" s="28"/>
      <c r="P229" s="28"/>
      <c r="Q229" s="27"/>
      <c r="R229" s="28"/>
      <c r="S229" s="28"/>
      <c r="T229" s="27"/>
    </row>
    <row r="230" spans="1:20" x14ac:dyDescent="0.35">
      <c r="A230" s="28"/>
      <c r="B230" s="24"/>
      <c r="C230" s="25"/>
      <c r="D230" s="31"/>
      <c r="E230" s="25"/>
      <c r="F230" s="25"/>
      <c r="G230" s="28"/>
      <c r="H230" s="25"/>
      <c r="I230" s="25"/>
      <c r="J230" s="28"/>
      <c r="K230" s="29"/>
      <c r="L230" s="29"/>
      <c r="M230" s="29"/>
      <c r="N230" s="28"/>
      <c r="O230" s="28"/>
      <c r="P230" s="28"/>
      <c r="Q230" s="27"/>
      <c r="R230" s="28"/>
      <c r="S230" s="28"/>
      <c r="T230" s="27"/>
    </row>
    <row r="231" spans="1:20" x14ac:dyDescent="0.35">
      <c r="A231" s="28"/>
      <c r="B231" s="24"/>
      <c r="C231" s="25"/>
      <c r="D231" s="31"/>
      <c r="E231" s="25"/>
      <c r="F231" s="25"/>
      <c r="G231" s="28"/>
      <c r="H231" s="25"/>
      <c r="I231" s="25"/>
      <c r="J231" s="28"/>
      <c r="K231" s="29"/>
      <c r="L231" s="29"/>
      <c r="M231" s="29"/>
      <c r="N231" s="28"/>
      <c r="O231" s="28"/>
      <c r="P231" s="28"/>
      <c r="Q231" s="27"/>
      <c r="R231" s="28"/>
      <c r="S231" s="28"/>
      <c r="T231" s="27"/>
    </row>
    <row r="232" spans="1:20" x14ac:dyDescent="0.35">
      <c r="A232" s="28"/>
      <c r="B232" s="24"/>
      <c r="C232" s="25"/>
      <c r="D232" s="31"/>
      <c r="E232" s="25"/>
      <c r="F232" s="25"/>
      <c r="G232" s="28"/>
      <c r="H232" s="25"/>
      <c r="I232" s="25"/>
      <c r="J232" s="28"/>
      <c r="K232" s="29"/>
      <c r="L232" s="29"/>
      <c r="M232" s="29"/>
      <c r="N232" s="28"/>
      <c r="O232" s="28"/>
      <c r="P232" s="28"/>
      <c r="Q232" s="27"/>
      <c r="R232" s="28"/>
      <c r="S232" s="28"/>
      <c r="T232" s="27"/>
    </row>
    <row r="233" spans="1:20" x14ac:dyDescent="0.35">
      <c r="A233" s="28"/>
      <c r="B233" s="24"/>
      <c r="C233" s="25"/>
      <c r="D233" s="31"/>
      <c r="E233" s="25"/>
      <c r="F233" s="25"/>
      <c r="G233" s="28"/>
      <c r="H233" s="25"/>
      <c r="I233" s="25"/>
      <c r="J233" s="28"/>
      <c r="K233" s="29"/>
      <c r="L233" s="29"/>
      <c r="M233" s="29"/>
      <c r="N233" s="28"/>
      <c r="O233" s="28"/>
      <c r="P233" s="28"/>
      <c r="Q233" s="27"/>
      <c r="R233" s="28"/>
      <c r="S233" s="28"/>
      <c r="T233" s="27"/>
    </row>
    <row r="234" spans="1:20" x14ac:dyDescent="0.35">
      <c r="A234" s="28"/>
      <c r="B234" s="24"/>
      <c r="C234" s="25"/>
      <c r="D234" s="31"/>
      <c r="E234" s="25"/>
      <c r="F234" s="25"/>
      <c r="G234" s="28"/>
      <c r="H234" s="25"/>
      <c r="I234" s="25"/>
      <c r="J234" s="28"/>
      <c r="K234" s="29"/>
      <c r="L234" s="29"/>
      <c r="M234" s="29"/>
      <c r="N234" s="28"/>
      <c r="O234" s="28"/>
      <c r="P234" s="28"/>
      <c r="Q234" s="27"/>
      <c r="R234" s="28"/>
      <c r="S234" s="28"/>
      <c r="T234" s="27"/>
    </row>
    <row r="235" spans="1:20" x14ac:dyDescent="0.35">
      <c r="A235" s="28"/>
      <c r="B235" s="24"/>
      <c r="C235" s="25"/>
      <c r="D235" s="31"/>
      <c r="E235" s="25"/>
      <c r="F235" s="25"/>
      <c r="G235" s="28"/>
      <c r="H235" s="25"/>
      <c r="I235" s="25"/>
      <c r="J235" s="28"/>
      <c r="K235" s="29"/>
      <c r="L235" s="29"/>
      <c r="M235" s="29"/>
      <c r="N235" s="28"/>
      <c r="O235" s="28"/>
      <c r="P235" s="28"/>
      <c r="Q235" s="27"/>
      <c r="R235" s="28"/>
      <c r="S235" s="28"/>
      <c r="T235" s="27"/>
    </row>
    <row r="236" spans="1:20" x14ac:dyDescent="0.35">
      <c r="A236" s="28"/>
      <c r="B236" s="24"/>
      <c r="C236" s="25"/>
      <c r="D236" s="31"/>
      <c r="E236" s="25"/>
      <c r="F236" s="25"/>
      <c r="G236" s="28"/>
      <c r="H236" s="25"/>
      <c r="I236" s="25"/>
      <c r="J236" s="28"/>
      <c r="K236" s="29"/>
      <c r="L236" s="29"/>
      <c r="M236" s="29"/>
      <c r="N236" s="28"/>
      <c r="O236" s="28"/>
      <c r="P236" s="28"/>
      <c r="Q236" s="27"/>
      <c r="R236" s="28"/>
      <c r="S236" s="28"/>
      <c r="T236" s="27"/>
    </row>
    <row r="237" spans="1:20" x14ac:dyDescent="0.35">
      <c r="A237" s="28"/>
      <c r="B237" s="24"/>
      <c r="C237" s="25"/>
      <c r="D237" s="31"/>
      <c r="E237" s="25"/>
      <c r="F237" s="25"/>
      <c r="G237" s="28"/>
      <c r="H237" s="25"/>
      <c r="I237" s="25"/>
      <c r="J237" s="28"/>
      <c r="K237" s="29"/>
      <c r="L237" s="29"/>
      <c r="M237" s="29"/>
      <c r="N237" s="28"/>
      <c r="O237" s="28"/>
      <c r="P237" s="28"/>
      <c r="Q237" s="27"/>
      <c r="R237" s="28"/>
      <c r="S237" s="28"/>
      <c r="T237" s="27"/>
    </row>
    <row r="238" spans="1:20" x14ac:dyDescent="0.35">
      <c r="A238" s="28"/>
      <c r="B238" s="24"/>
      <c r="C238" s="25"/>
      <c r="D238" s="31"/>
      <c r="E238" s="25"/>
      <c r="F238" s="25"/>
      <c r="G238" s="28"/>
      <c r="H238" s="25"/>
      <c r="I238" s="25"/>
      <c r="J238" s="28"/>
      <c r="K238" s="29"/>
      <c r="L238" s="29"/>
      <c r="M238" s="29"/>
      <c r="N238" s="28"/>
      <c r="O238" s="28"/>
      <c r="P238" s="28"/>
      <c r="Q238" s="27"/>
      <c r="R238" s="28"/>
      <c r="S238" s="28"/>
      <c r="T238" s="27"/>
    </row>
    <row r="239" spans="1:20" x14ac:dyDescent="0.35">
      <c r="A239" s="28"/>
      <c r="B239" s="24"/>
      <c r="C239" s="25"/>
      <c r="D239" s="31"/>
      <c r="E239" s="25"/>
      <c r="F239" s="25"/>
      <c r="G239" s="28"/>
      <c r="H239" s="25"/>
      <c r="I239" s="25"/>
      <c r="J239" s="28"/>
      <c r="K239" s="29"/>
      <c r="L239" s="29"/>
      <c r="M239" s="29"/>
      <c r="N239" s="28"/>
      <c r="O239" s="28"/>
      <c r="P239" s="28"/>
      <c r="Q239" s="27"/>
      <c r="R239" s="28"/>
      <c r="S239" s="28"/>
      <c r="T239" s="27"/>
    </row>
    <row r="240" spans="1:20" x14ac:dyDescent="0.35">
      <c r="A240" s="28"/>
      <c r="B240" s="24"/>
      <c r="C240" s="25"/>
      <c r="D240" s="31"/>
      <c r="E240" s="25"/>
      <c r="F240" s="25"/>
      <c r="G240" s="28"/>
      <c r="H240" s="25"/>
      <c r="I240" s="25"/>
      <c r="J240" s="28"/>
      <c r="K240" s="29"/>
      <c r="L240" s="29"/>
      <c r="M240" s="29"/>
      <c r="N240" s="28"/>
      <c r="O240" s="28"/>
      <c r="P240" s="28"/>
      <c r="Q240" s="27"/>
      <c r="R240" s="28"/>
      <c r="S240" s="28"/>
      <c r="T240" s="27"/>
    </row>
    <row r="241" spans="1:20" x14ac:dyDescent="0.35">
      <c r="A241" s="28"/>
      <c r="B241" s="24"/>
      <c r="C241" s="25"/>
      <c r="D241" s="31"/>
      <c r="E241" s="25"/>
      <c r="F241" s="25"/>
      <c r="G241" s="28"/>
      <c r="H241" s="25"/>
      <c r="I241" s="25"/>
      <c r="J241" s="28"/>
      <c r="K241" s="29"/>
      <c r="L241" s="29"/>
      <c r="M241" s="29"/>
      <c r="N241" s="28"/>
      <c r="O241" s="28"/>
      <c r="P241" s="28"/>
      <c r="Q241" s="27"/>
      <c r="R241" s="28"/>
      <c r="S241" s="28"/>
      <c r="T241" s="27"/>
    </row>
    <row r="242" spans="1:20" x14ac:dyDescent="0.35">
      <c r="A242" s="28"/>
      <c r="B242" s="24"/>
      <c r="C242" s="25"/>
      <c r="D242" s="31"/>
      <c r="E242" s="25"/>
      <c r="F242" s="25"/>
      <c r="G242" s="28"/>
      <c r="H242" s="25"/>
      <c r="I242" s="25"/>
      <c r="J242" s="28"/>
      <c r="K242" s="29"/>
      <c r="L242" s="29"/>
      <c r="M242" s="29"/>
      <c r="N242" s="28"/>
      <c r="O242" s="28"/>
      <c r="P242" s="28"/>
      <c r="Q242" s="27"/>
      <c r="R242" s="28"/>
      <c r="S242" s="28"/>
      <c r="T242" s="27"/>
    </row>
    <row r="243" spans="1:20" x14ac:dyDescent="0.35">
      <c r="A243" s="28"/>
      <c r="B243" s="24"/>
      <c r="C243" s="25"/>
      <c r="D243" s="31"/>
      <c r="E243" s="25"/>
      <c r="F243" s="25"/>
      <c r="G243" s="28"/>
      <c r="H243" s="25"/>
      <c r="I243" s="25"/>
      <c r="J243" s="28"/>
      <c r="K243" s="29"/>
      <c r="L243" s="29"/>
      <c r="M243" s="29"/>
      <c r="N243" s="28"/>
      <c r="O243" s="28"/>
      <c r="P243" s="28"/>
      <c r="Q243" s="27"/>
      <c r="R243" s="28"/>
      <c r="S243" s="28"/>
      <c r="T243" s="27"/>
    </row>
    <row r="244" spans="1:20" x14ac:dyDescent="0.35">
      <c r="A244" s="28"/>
      <c r="B244" s="24"/>
      <c r="C244" s="25"/>
      <c r="D244" s="31"/>
      <c r="E244" s="25"/>
      <c r="F244" s="25"/>
      <c r="G244" s="28"/>
      <c r="H244" s="25"/>
      <c r="I244" s="25"/>
      <c r="J244" s="28"/>
      <c r="K244" s="29"/>
      <c r="L244" s="29"/>
      <c r="M244" s="29"/>
      <c r="N244" s="28"/>
      <c r="O244" s="28"/>
      <c r="P244" s="28"/>
      <c r="Q244" s="27"/>
      <c r="R244" s="28"/>
      <c r="S244" s="28"/>
      <c r="T244" s="27"/>
    </row>
    <row r="245" spans="1:20" x14ac:dyDescent="0.35">
      <c r="A245" s="28"/>
      <c r="B245" s="24"/>
      <c r="C245" s="25"/>
      <c r="D245" s="31"/>
      <c r="E245" s="25"/>
      <c r="F245" s="25"/>
      <c r="G245" s="28"/>
      <c r="H245" s="25"/>
      <c r="I245" s="25"/>
      <c r="J245" s="28"/>
      <c r="K245" s="29"/>
      <c r="L245" s="29"/>
      <c r="M245" s="29"/>
      <c r="N245" s="28"/>
      <c r="O245" s="28"/>
      <c r="P245" s="28"/>
      <c r="Q245" s="27"/>
      <c r="R245" s="28"/>
      <c r="S245" s="28"/>
      <c r="T245" s="27"/>
    </row>
    <row r="246" spans="1:20" x14ac:dyDescent="0.35">
      <c r="A246" s="28"/>
      <c r="B246" s="24"/>
      <c r="C246" s="25"/>
      <c r="D246" s="31"/>
      <c r="E246" s="25"/>
      <c r="F246" s="25"/>
      <c r="G246" s="28"/>
      <c r="H246" s="25"/>
      <c r="I246" s="25"/>
      <c r="J246" s="28"/>
      <c r="K246" s="29"/>
      <c r="L246" s="29"/>
      <c r="M246" s="29"/>
      <c r="N246" s="28"/>
      <c r="O246" s="28"/>
      <c r="P246" s="28"/>
      <c r="Q246" s="27"/>
      <c r="R246" s="28"/>
      <c r="S246" s="28"/>
      <c r="T246" s="27"/>
    </row>
    <row r="247" spans="1:20" x14ac:dyDescent="0.35">
      <c r="A247" s="28"/>
      <c r="B247" s="24"/>
      <c r="C247" s="25"/>
      <c r="D247" s="31"/>
      <c r="E247" s="25"/>
      <c r="F247" s="25"/>
      <c r="G247" s="28"/>
      <c r="H247" s="25"/>
      <c r="I247" s="25"/>
      <c r="J247" s="28"/>
      <c r="K247" s="29"/>
      <c r="L247" s="29"/>
      <c r="M247" s="29"/>
      <c r="N247" s="28"/>
      <c r="O247" s="28"/>
      <c r="P247" s="28"/>
      <c r="Q247" s="27"/>
      <c r="R247" s="28"/>
      <c r="S247" s="28"/>
      <c r="T247" s="27"/>
    </row>
    <row r="248" spans="1:20" x14ac:dyDescent="0.35">
      <c r="A248" s="28"/>
      <c r="B248" s="24"/>
      <c r="C248" s="25"/>
      <c r="D248" s="31"/>
      <c r="E248" s="25"/>
      <c r="F248" s="25"/>
      <c r="G248" s="28"/>
      <c r="H248" s="25"/>
      <c r="I248" s="25"/>
      <c r="J248" s="28"/>
      <c r="K248" s="29"/>
      <c r="L248" s="29"/>
      <c r="M248" s="29"/>
      <c r="N248" s="28"/>
      <c r="O248" s="28"/>
      <c r="P248" s="28"/>
      <c r="Q248" s="27"/>
      <c r="R248" s="28"/>
      <c r="S248" s="28"/>
      <c r="T248" s="27"/>
    </row>
    <row r="249" spans="1:20" x14ac:dyDescent="0.35">
      <c r="A249" s="28"/>
      <c r="B249" s="24"/>
      <c r="C249" s="25"/>
      <c r="D249" s="31"/>
      <c r="E249" s="25"/>
      <c r="F249" s="25"/>
      <c r="G249" s="28"/>
      <c r="H249" s="25"/>
      <c r="I249" s="25"/>
      <c r="J249" s="28"/>
      <c r="K249" s="29"/>
      <c r="L249" s="29"/>
      <c r="M249" s="29"/>
      <c r="N249" s="28"/>
      <c r="O249" s="28"/>
      <c r="P249" s="28"/>
      <c r="Q249" s="27"/>
      <c r="R249" s="28"/>
      <c r="S249" s="28"/>
      <c r="T249" s="27"/>
    </row>
    <row r="250" spans="1:20" x14ac:dyDescent="0.35">
      <c r="A250" s="28"/>
      <c r="B250" s="24"/>
      <c r="C250" s="25"/>
      <c r="D250" s="31"/>
      <c r="E250" s="25"/>
      <c r="F250" s="25"/>
      <c r="G250" s="28"/>
      <c r="H250" s="25"/>
      <c r="I250" s="25"/>
      <c r="J250" s="28"/>
      <c r="K250" s="29"/>
      <c r="L250" s="29"/>
      <c r="M250" s="29"/>
      <c r="N250" s="28"/>
      <c r="O250" s="28"/>
      <c r="P250" s="28"/>
      <c r="Q250" s="27"/>
      <c r="R250" s="28"/>
      <c r="S250" s="28"/>
      <c r="T250" s="27"/>
    </row>
    <row r="251" spans="1:20" x14ac:dyDescent="0.35">
      <c r="A251" s="28"/>
      <c r="B251" s="24"/>
      <c r="C251" s="25"/>
      <c r="D251" s="31"/>
      <c r="E251" s="25"/>
      <c r="F251" s="25"/>
      <c r="G251" s="28"/>
      <c r="H251" s="25"/>
      <c r="I251" s="25"/>
      <c r="J251" s="28"/>
      <c r="K251" s="29"/>
      <c r="L251" s="29"/>
      <c r="M251" s="29"/>
      <c r="N251" s="28"/>
      <c r="O251" s="28"/>
      <c r="P251" s="28"/>
      <c r="Q251" s="27"/>
      <c r="R251" s="28"/>
      <c r="S251" s="28"/>
      <c r="T251" s="27"/>
    </row>
    <row r="252" spans="1:20" x14ac:dyDescent="0.35">
      <c r="A252" s="28"/>
      <c r="B252" s="24"/>
      <c r="C252" s="25"/>
      <c r="D252" s="31"/>
      <c r="E252" s="25"/>
      <c r="F252" s="25"/>
      <c r="G252" s="28"/>
      <c r="H252" s="25"/>
      <c r="I252" s="25"/>
      <c r="J252" s="28"/>
      <c r="K252" s="29"/>
      <c r="L252" s="29"/>
      <c r="M252" s="29"/>
      <c r="N252" s="28"/>
      <c r="O252" s="28"/>
      <c r="P252" s="28"/>
      <c r="Q252" s="27"/>
      <c r="R252" s="28"/>
      <c r="S252" s="28"/>
      <c r="T252" s="27"/>
    </row>
    <row r="253" spans="1:20" x14ac:dyDescent="0.35">
      <c r="A253" s="28"/>
      <c r="B253" s="24"/>
      <c r="C253" s="25"/>
      <c r="D253" s="31"/>
      <c r="E253" s="25"/>
      <c r="F253" s="25"/>
      <c r="G253" s="28"/>
      <c r="H253" s="25"/>
      <c r="I253" s="25"/>
      <c r="J253" s="28"/>
      <c r="K253" s="29"/>
      <c r="L253" s="29"/>
      <c r="M253" s="29"/>
      <c r="N253" s="28"/>
      <c r="O253" s="28"/>
      <c r="P253" s="28"/>
      <c r="Q253" s="27"/>
      <c r="R253" s="28"/>
      <c r="S253" s="28"/>
      <c r="T253" s="27"/>
    </row>
    <row r="254" spans="1:20" x14ac:dyDescent="0.35">
      <c r="A254" s="28"/>
      <c r="B254" s="24"/>
      <c r="C254" s="25"/>
      <c r="D254" s="31"/>
      <c r="E254" s="25"/>
      <c r="F254" s="25"/>
      <c r="G254" s="28"/>
      <c r="H254" s="25"/>
      <c r="I254" s="25"/>
      <c r="J254" s="28"/>
      <c r="K254" s="29"/>
      <c r="L254" s="29"/>
      <c r="M254" s="29"/>
      <c r="N254" s="28"/>
      <c r="O254" s="28"/>
      <c r="P254" s="28"/>
      <c r="Q254" s="27"/>
      <c r="R254" s="28"/>
      <c r="S254" s="28"/>
      <c r="T254" s="27"/>
    </row>
    <row r="255" spans="1:20" x14ac:dyDescent="0.35">
      <c r="A255" s="28"/>
      <c r="B255" s="24"/>
      <c r="C255" s="25"/>
      <c r="D255" s="31"/>
      <c r="E255" s="25"/>
      <c r="F255" s="25"/>
      <c r="G255" s="28"/>
      <c r="H255" s="25"/>
      <c r="I255" s="25"/>
      <c r="J255" s="28"/>
      <c r="K255" s="29"/>
      <c r="L255" s="29"/>
      <c r="M255" s="29"/>
      <c r="N255" s="28"/>
      <c r="O255" s="28"/>
      <c r="P255" s="28"/>
      <c r="Q255" s="27"/>
      <c r="R255" s="28"/>
      <c r="S255" s="28"/>
      <c r="T255" s="27"/>
    </row>
    <row r="256" spans="1:20" x14ac:dyDescent="0.35">
      <c r="A256" s="28"/>
      <c r="B256" s="24"/>
      <c r="C256" s="25"/>
      <c r="D256" s="31"/>
      <c r="E256" s="25"/>
      <c r="F256" s="25"/>
      <c r="G256" s="28"/>
      <c r="H256" s="25"/>
      <c r="I256" s="25"/>
      <c r="J256" s="28"/>
      <c r="K256" s="29"/>
      <c r="L256" s="29"/>
      <c r="M256" s="29"/>
      <c r="N256" s="28"/>
      <c r="O256" s="28"/>
      <c r="P256" s="28"/>
      <c r="Q256" s="27"/>
      <c r="R256" s="28"/>
      <c r="S256" s="28"/>
      <c r="T256" s="27"/>
    </row>
    <row r="257" spans="1:20" x14ac:dyDescent="0.35">
      <c r="A257" s="28"/>
      <c r="B257" s="24"/>
      <c r="C257" s="25"/>
      <c r="D257" s="31"/>
      <c r="E257" s="25"/>
      <c r="F257" s="25"/>
      <c r="G257" s="28"/>
      <c r="H257" s="25"/>
      <c r="I257" s="25"/>
      <c r="J257" s="28"/>
      <c r="K257" s="29"/>
      <c r="L257" s="29"/>
      <c r="M257" s="29"/>
      <c r="N257" s="28"/>
      <c r="O257" s="28"/>
      <c r="P257" s="28"/>
      <c r="Q257" s="27"/>
      <c r="R257" s="28"/>
      <c r="S257" s="28"/>
      <c r="T257" s="27"/>
    </row>
    <row r="258" spans="1:20" x14ac:dyDescent="0.35">
      <c r="A258" s="28"/>
      <c r="B258" s="24"/>
      <c r="C258" s="25"/>
      <c r="D258" s="31"/>
      <c r="E258" s="25"/>
      <c r="F258" s="25"/>
      <c r="G258" s="28"/>
      <c r="H258" s="25"/>
      <c r="I258" s="25"/>
      <c r="J258" s="28"/>
      <c r="K258" s="29"/>
      <c r="L258" s="29"/>
      <c r="M258" s="29"/>
      <c r="N258" s="28"/>
      <c r="O258" s="28"/>
      <c r="P258" s="28"/>
      <c r="Q258" s="27"/>
      <c r="R258" s="28"/>
      <c r="S258" s="28"/>
      <c r="T258" s="27"/>
    </row>
    <row r="259" spans="1:20" x14ac:dyDescent="0.35">
      <c r="A259" s="28"/>
      <c r="B259" s="24"/>
      <c r="C259" s="25"/>
      <c r="D259" s="31"/>
      <c r="E259" s="25"/>
      <c r="F259" s="25"/>
      <c r="G259" s="28"/>
      <c r="H259" s="25"/>
      <c r="I259" s="25"/>
      <c r="J259" s="28"/>
      <c r="K259" s="29"/>
      <c r="L259" s="29"/>
      <c r="M259" s="29"/>
      <c r="N259" s="28"/>
      <c r="O259" s="28"/>
      <c r="P259" s="28"/>
      <c r="Q259" s="27"/>
      <c r="R259" s="28"/>
      <c r="S259" s="28"/>
      <c r="T259" s="27"/>
    </row>
    <row r="260" spans="1:20" x14ac:dyDescent="0.35">
      <c r="A260" s="28"/>
      <c r="B260" s="24"/>
      <c r="C260" s="25"/>
      <c r="D260" s="31"/>
      <c r="E260" s="25"/>
      <c r="F260" s="25"/>
      <c r="G260" s="28"/>
      <c r="H260" s="25"/>
      <c r="I260" s="25"/>
      <c r="J260" s="28"/>
      <c r="K260" s="29"/>
      <c r="L260" s="29"/>
      <c r="M260" s="29"/>
      <c r="N260" s="28"/>
      <c r="O260" s="28"/>
      <c r="P260" s="28"/>
      <c r="Q260" s="27"/>
      <c r="R260" s="28"/>
      <c r="S260" s="28"/>
      <c r="T260" s="27"/>
    </row>
    <row r="261" spans="1:20" x14ac:dyDescent="0.35">
      <c r="A261" s="28"/>
      <c r="B261" s="24"/>
      <c r="C261" s="25"/>
      <c r="D261" s="31"/>
      <c r="E261" s="25"/>
      <c r="F261" s="25"/>
      <c r="G261" s="28"/>
      <c r="H261" s="25"/>
      <c r="I261" s="25"/>
      <c r="J261" s="28"/>
      <c r="K261" s="29"/>
      <c r="L261" s="29"/>
      <c r="M261" s="29"/>
      <c r="N261" s="28"/>
      <c r="O261" s="28"/>
      <c r="P261" s="28"/>
      <c r="Q261" s="27"/>
      <c r="R261" s="28"/>
      <c r="S261" s="28"/>
      <c r="T261" s="27"/>
    </row>
    <row r="262" spans="1:20" x14ac:dyDescent="0.35">
      <c r="A262" s="28"/>
      <c r="B262" s="24"/>
      <c r="C262" s="25"/>
      <c r="D262" s="31"/>
      <c r="E262" s="25"/>
      <c r="F262" s="25"/>
      <c r="G262" s="28"/>
      <c r="H262" s="25"/>
      <c r="I262" s="25"/>
      <c r="J262" s="28"/>
      <c r="K262" s="29"/>
      <c r="L262" s="29"/>
      <c r="M262" s="29"/>
      <c r="N262" s="28"/>
      <c r="O262" s="28"/>
      <c r="P262" s="28"/>
      <c r="Q262" s="27"/>
      <c r="R262" s="28"/>
      <c r="S262" s="28"/>
      <c r="T262" s="27"/>
    </row>
    <row r="263" spans="1:20" x14ac:dyDescent="0.35">
      <c r="A263" s="28"/>
      <c r="B263" s="24"/>
      <c r="C263" s="25"/>
      <c r="D263" s="31"/>
      <c r="E263" s="25"/>
      <c r="F263" s="25"/>
      <c r="G263" s="28"/>
      <c r="H263" s="25"/>
      <c r="I263" s="25"/>
      <c r="J263" s="28"/>
      <c r="K263" s="29"/>
      <c r="L263" s="29"/>
      <c r="M263" s="29"/>
      <c r="N263" s="28"/>
      <c r="O263" s="28"/>
      <c r="P263" s="28"/>
      <c r="Q263" s="27"/>
      <c r="R263" s="28"/>
      <c r="S263" s="28"/>
      <c r="T263" s="27"/>
    </row>
    <row r="264" spans="1:20" x14ac:dyDescent="0.35">
      <c r="A264" s="28"/>
      <c r="B264" s="24"/>
      <c r="C264" s="25"/>
      <c r="D264" s="31"/>
      <c r="E264" s="25"/>
      <c r="F264" s="25"/>
      <c r="G264" s="28"/>
      <c r="H264" s="25"/>
      <c r="I264" s="25"/>
      <c r="J264" s="28"/>
      <c r="K264" s="29"/>
      <c r="L264" s="29"/>
      <c r="M264" s="29"/>
      <c r="N264" s="28"/>
      <c r="O264" s="28"/>
      <c r="P264" s="28"/>
      <c r="Q264" s="27"/>
      <c r="R264" s="28"/>
      <c r="S264" s="28"/>
      <c r="T264" s="27"/>
    </row>
    <row r="265" spans="1:20" x14ac:dyDescent="0.35">
      <c r="A265" s="28"/>
      <c r="B265" s="24"/>
      <c r="C265" s="25"/>
      <c r="D265" s="31"/>
      <c r="E265" s="25"/>
      <c r="F265" s="25"/>
      <c r="G265" s="28"/>
      <c r="H265" s="25"/>
      <c r="I265" s="25"/>
      <c r="J265" s="28"/>
      <c r="K265" s="29"/>
      <c r="L265" s="29"/>
      <c r="M265" s="29"/>
      <c r="N265" s="28"/>
      <c r="O265" s="28"/>
      <c r="P265" s="28"/>
      <c r="Q265" s="27"/>
      <c r="R265" s="28"/>
      <c r="S265" s="28"/>
      <c r="T265" s="27"/>
    </row>
    <row r="266" spans="1:20" x14ac:dyDescent="0.35">
      <c r="A266" s="28"/>
      <c r="B266" s="24"/>
      <c r="C266" s="25"/>
      <c r="D266" s="31"/>
      <c r="E266" s="25"/>
      <c r="F266" s="25"/>
      <c r="G266" s="28"/>
      <c r="H266" s="25"/>
      <c r="I266" s="25"/>
      <c r="J266" s="28"/>
      <c r="K266" s="29"/>
      <c r="L266" s="29"/>
      <c r="M266" s="29"/>
      <c r="N266" s="28"/>
      <c r="O266" s="28"/>
      <c r="P266" s="28"/>
      <c r="Q266" s="27"/>
      <c r="R266" s="28"/>
      <c r="S266" s="28"/>
      <c r="T266" s="27"/>
    </row>
    <row r="267" spans="1:20" x14ac:dyDescent="0.35">
      <c r="A267" s="28"/>
      <c r="B267" s="24"/>
      <c r="C267" s="25"/>
      <c r="D267" s="31"/>
      <c r="E267" s="25"/>
      <c r="F267" s="25"/>
      <c r="G267" s="28"/>
      <c r="H267" s="25"/>
      <c r="I267" s="25"/>
      <c r="J267" s="28"/>
      <c r="K267" s="29"/>
      <c r="L267" s="29"/>
      <c r="M267" s="29"/>
      <c r="N267" s="28"/>
      <c r="O267" s="28"/>
      <c r="P267" s="28"/>
      <c r="Q267" s="27"/>
      <c r="R267" s="28"/>
      <c r="S267" s="28"/>
      <c r="T267" s="27"/>
    </row>
    <row r="268" spans="1:20" x14ac:dyDescent="0.35">
      <c r="A268" s="28"/>
      <c r="B268" s="24"/>
      <c r="C268" s="25"/>
      <c r="D268" s="31"/>
      <c r="E268" s="25"/>
      <c r="F268" s="25"/>
      <c r="G268" s="28"/>
      <c r="H268" s="25"/>
      <c r="I268" s="25"/>
      <c r="J268" s="28"/>
      <c r="K268" s="29"/>
      <c r="L268" s="29"/>
      <c r="M268" s="29"/>
      <c r="N268" s="28"/>
      <c r="O268" s="28"/>
      <c r="P268" s="28"/>
      <c r="Q268" s="27"/>
      <c r="R268" s="28"/>
      <c r="S268" s="28"/>
      <c r="T268" s="27"/>
    </row>
    <row r="269" spans="1:20" x14ac:dyDescent="0.35">
      <c r="A269" s="28"/>
      <c r="B269" s="24"/>
      <c r="C269" s="25"/>
      <c r="D269" s="31"/>
      <c r="E269" s="25"/>
      <c r="F269" s="25"/>
      <c r="G269" s="28"/>
      <c r="H269" s="25"/>
      <c r="I269" s="25"/>
      <c r="J269" s="28"/>
      <c r="K269" s="29"/>
      <c r="L269" s="29"/>
      <c r="M269" s="29"/>
      <c r="N269" s="28"/>
      <c r="O269" s="28"/>
      <c r="P269" s="28"/>
      <c r="Q269" s="27"/>
      <c r="R269" s="28"/>
      <c r="S269" s="28"/>
      <c r="T269" s="27"/>
    </row>
    <row r="270" spans="1:20" x14ac:dyDescent="0.35">
      <c r="A270" s="28"/>
      <c r="B270" s="24"/>
      <c r="C270" s="25"/>
      <c r="D270" s="31"/>
      <c r="E270" s="25"/>
      <c r="F270" s="25"/>
      <c r="G270" s="28"/>
      <c r="H270" s="25"/>
      <c r="I270" s="25"/>
      <c r="J270" s="28"/>
      <c r="K270" s="29"/>
      <c r="L270" s="29"/>
      <c r="M270" s="29"/>
      <c r="N270" s="28"/>
      <c r="O270" s="28"/>
      <c r="P270" s="28"/>
      <c r="Q270" s="27"/>
      <c r="R270" s="28"/>
      <c r="S270" s="28"/>
      <c r="T270" s="27"/>
    </row>
    <row r="271" spans="1:20" x14ac:dyDescent="0.35">
      <c r="A271" s="28"/>
      <c r="B271" s="24"/>
      <c r="C271" s="25"/>
      <c r="D271" s="31"/>
      <c r="E271" s="25"/>
      <c r="F271" s="25"/>
      <c r="G271" s="28"/>
      <c r="H271" s="25"/>
      <c r="I271" s="25"/>
      <c r="J271" s="28"/>
      <c r="K271" s="29"/>
      <c r="L271" s="29"/>
      <c r="M271" s="29"/>
      <c r="N271" s="28"/>
      <c r="O271" s="28"/>
      <c r="P271" s="28"/>
      <c r="Q271" s="27"/>
      <c r="R271" s="28"/>
      <c r="S271" s="28"/>
      <c r="T271" s="27"/>
    </row>
    <row r="272" spans="1:20" x14ac:dyDescent="0.35">
      <c r="A272" s="28"/>
      <c r="B272" s="24"/>
      <c r="C272" s="25"/>
      <c r="D272" s="31"/>
      <c r="E272" s="25"/>
      <c r="F272" s="25"/>
      <c r="G272" s="28"/>
      <c r="H272" s="25"/>
      <c r="I272" s="25"/>
      <c r="J272" s="28"/>
      <c r="K272" s="29"/>
      <c r="L272" s="29"/>
      <c r="M272" s="29"/>
      <c r="N272" s="28"/>
      <c r="O272" s="28"/>
      <c r="P272" s="28"/>
      <c r="Q272" s="27"/>
      <c r="R272" s="28"/>
      <c r="S272" s="28"/>
      <c r="T272" s="27"/>
    </row>
    <row r="273" spans="1:20" x14ac:dyDescent="0.35">
      <c r="A273" s="28"/>
      <c r="B273" s="24"/>
      <c r="C273" s="25"/>
      <c r="D273" s="31"/>
      <c r="E273" s="25"/>
      <c r="F273" s="25"/>
      <c r="G273" s="28"/>
      <c r="H273" s="25"/>
      <c r="I273" s="25"/>
      <c r="J273" s="28"/>
      <c r="K273" s="29"/>
      <c r="L273" s="29"/>
      <c r="M273" s="29"/>
      <c r="N273" s="28"/>
      <c r="O273" s="28"/>
      <c r="P273" s="28"/>
      <c r="Q273" s="27"/>
      <c r="R273" s="28"/>
      <c r="S273" s="28"/>
      <c r="T273" s="27"/>
    </row>
    <row r="274" spans="1:20" x14ac:dyDescent="0.35">
      <c r="A274" s="28"/>
      <c r="B274" s="24"/>
      <c r="C274" s="25"/>
      <c r="D274" s="31"/>
      <c r="E274" s="25"/>
      <c r="F274" s="25"/>
      <c r="G274" s="28"/>
      <c r="H274" s="25"/>
      <c r="I274" s="25"/>
      <c r="J274" s="28"/>
      <c r="K274" s="29"/>
      <c r="L274" s="29"/>
      <c r="M274" s="29"/>
      <c r="N274" s="28"/>
      <c r="O274" s="28"/>
      <c r="P274" s="28"/>
      <c r="Q274" s="27"/>
      <c r="R274" s="28"/>
      <c r="S274" s="28"/>
      <c r="T274" s="27"/>
    </row>
    <row r="275" spans="1:20" x14ac:dyDescent="0.35">
      <c r="A275" s="28"/>
      <c r="B275" s="24"/>
      <c r="C275" s="25"/>
      <c r="D275" s="31"/>
      <c r="E275" s="25"/>
      <c r="F275" s="25"/>
      <c r="G275" s="28"/>
      <c r="H275" s="25"/>
      <c r="I275" s="25"/>
      <c r="J275" s="28"/>
      <c r="K275" s="29"/>
      <c r="L275" s="29"/>
      <c r="M275" s="29"/>
      <c r="N275" s="28"/>
      <c r="O275" s="28"/>
      <c r="P275" s="28"/>
      <c r="Q275" s="27"/>
      <c r="R275" s="28"/>
      <c r="S275" s="28"/>
      <c r="T275" s="27"/>
    </row>
    <row r="276" spans="1:20" x14ac:dyDescent="0.35">
      <c r="A276" s="28"/>
      <c r="B276" s="24"/>
      <c r="C276" s="25"/>
      <c r="D276" s="31"/>
      <c r="E276" s="25"/>
      <c r="F276" s="25"/>
      <c r="G276" s="28"/>
      <c r="H276" s="25"/>
      <c r="I276" s="25"/>
      <c r="J276" s="28"/>
      <c r="K276" s="29"/>
      <c r="L276" s="29"/>
      <c r="M276" s="29"/>
      <c r="N276" s="28"/>
      <c r="O276" s="28"/>
      <c r="P276" s="28"/>
      <c r="Q276" s="27"/>
      <c r="R276" s="28"/>
      <c r="S276" s="28"/>
      <c r="T276" s="27"/>
    </row>
    <row r="277" spans="1:20" x14ac:dyDescent="0.35">
      <c r="A277" s="28"/>
      <c r="B277" s="24"/>
      <c r="C277" s="25"/>
      <c r="D277" s="31"/>
      <c r="E277" s="25"/>
      <c r="F277" s="25"/>
      <c r="G277" s="28"/>
      <c r="H277" s="25"/>
      <c r="I277" s="25"/>
      <c r="J277" s="28"/>
      <c r="K277" s="29"/>
      <c r="L277" s="29"/>
      <c r="M277" s="29"/>
      <c r="N277" s="28"/>
      <c r="O277" s="28"/>
      <c r="P277" s="28"/>
      <c r="Q277" s="27"/>
      <c r="R277" s="28"/>
      <c r="S277" s="28"/>
      <c r="T277" s="27"/>
    </row>
    <row r="278" spans="1:20" x14ac:dyDescent="0.35">
      <c r="A278" s="28"/>
      <c r="B278" s="24"/>
      <c r="C278" s="25"/>
      <c r="D278" s="31"/>
      <c r="E278" s="25"/>
      <c r="F278" s="25"/>
      <c r="G278" s="28"/>
      <c r="H278" s="25"/>
      <c r="I278" s="25"/>
      <c r="J278" s="28"/>
      <c r="K278" s="29"/>
      <c r="L278" s="29"/>
      <c r="M278" s="29"/>
      <c r="N278" s="28"/>
      <c r="O278" s="28"/>
      <c r="P278" s="28"/>
      <c r="Q278" s="27"/>
      <c r="R278" s="28"/>
      <c r="S278" s="28"/>
      <c r="T278" s="27"/>
    </row>
    <row r="279" spans="1:20" x14ac:dyDescent="0.35">
      <c r="A279" s="28"/>
      <c r="B279" s="24"/>
      <c r="C279" s="25"/>
      <c r="D279" s="31"/>
      <c r="E279" s="25"/>
      <c r="F279" s="25"/>
      <c r="G279" s="28"/>
      <c r="H279" s="25"/>
      <c r="I279" s="25"/>
      <c r="J279" s="28"/>
      <c r="K279" s="29"/>
      <c r="L279" s="29"/>
      <c r="M279" s="29"/>
      <c r="N279" s="28"/>
      <c r="O279" s="28"/>
      <c r="P279" s="28"/>
      <c r="Q279" s="27"/>
      <c r="R279" s="28"/>
      <c r="S279" s="28"/>
      <c r="T279" s="27"/>
    </row>
    <row r="280" spans="1:20" x14ac:dyDescent="0.35">
      <c r="A280" s="28"/>
      <c r="B280" s="24"/>
      <c r="C280" s="25"/>
      <c r="D280" s="31"/>
      <c r="E280" s="25"/>
      <c r="F280" s="25"/>
      <c r="G280" s="28"/>
      <c r="H280" s="25"/>
      <c r="I280" s="25"/>
      <c r="J280" s="28"/>
      <c r="K280" s="29"/>
      <c r="L280" s="29"/>
      <c r="M280" s="29"/>
      <c r="N280" s="28"/>
      <c r="O280" s="28"/>
      <c r="P280" s="28"/>
      <c r="Q280" s="27"/>
      <c r="R280" s="28"/>
      <c r="S280" s="28"/>
      <c r="T280" s="27"/>
    </row>
    <row r="281" spans="1:20" x14ac:dyDescent="0.35">
      <c r="A281" s="28"/>
      <c r="B281" s="24"/>
      <c r="C281" s="25"/>
      <c r="D281" s="31"/>
      <c r="E281" s="25"/>
      <c r="F281" s="25"/>
      <c r="G281" s="28"/>
      <c r="H281" s="25"/>
      <c r="I281" s="25"/>
      <c r="J281" s="28"/>
      <c r="K281" s="29"/>
      <c r="L281" s="29"/>
      <c r="M281" s="29"/>
      <c r="N281" s="28"/>
      <c r="O281" s="28"/>
      <c r="P281" s="28"/>
      <c r="Q281" s="27"/>
      <c r="R281" s="28"/>
      <c r="S281" s="28"/>
      <c r="T281" s="27"/>
    </row>
    <row r="282" spans="1:20" x14ac:dyDescent="0.35">
      <c r="A282" s="28"/>
      <c r="B282" s="24"/>
      <c r="C282" s="25"/>
      <c r="D282" s="31"/>
      <c r="E282" s="25"/>
      <c r="F282" s="25"/>
      <c r="G282" s="28"/>
      <c r="H282" s="25"/>
      <c r="I282" s="25"/>
      <c r="J282" s="28"/>
      <c r="K282" s="29"/>
      <c r="L282" s="29"/>
      <c r="M282" s="29"/>
      <c r="N282" s="28"/>
      <c r="O282" s="28"/>
      <c r="P282" s="28"/>
      <c r="Q282" s="27"/>
      <c r="R282" s="28"/>
      <c r="S282" s="28"/>
      <c r="T282" s="27"/>
    </row>
    <row r="283" spans="1:20" x14ac:dyDescent="0.35">
      <c r="A283" s="28"/>
      <c r="B283" s="24"/>
      <c r="C283" s="25"/>
      <c r="D283" s="31"/>
      <c r="E283" s="25"/>
      <c r="F283" s="25"/>
      <c r="G283" s="28"/>
      <c r="H283" s="25"/>
      <c r="I283" s="25"/>
      <c r="J283" s="28"/>
      <c r="K283" s="29"/>
      <c r="L283" s="29"/>
      <c r="M283" s="29"/>
      <c r="N283" s="28"/>
      <c r="O283" s="28"/>
      <c r="P283" s="28"/>
      <c r="Q283" s="27"/>
      <c r="R283" s="28"/>
      <c r="S283" s="28"/>
      <c r="T283" s="27"/>
    </row>
    <row r="284" spans="1:20" x14ac:dyDescent="0.35">
      <c r="A284" s="28"/>
      <c r="B284" s="24"/>
      <c r="C284" s="25"/>
      <c r="D284" s="31"/>
      <c r="E284" s="25"/>
      <c r="F284" s="25"/>
      <c r="G284" s="28"/>
      <c r="H284" s="25"/>
      <c r="I284" s="25"/>
      <c r="J284" s="28"/>
      <c r="K284" s="29"/>
      <c r="L284" s="29"/>
      <c r="M284" s="29"/>
      <c r="N284" s="28"/>
      <c r="O284" s="28"/>
      <c r="P284" s="28"/>
      <c r="Q284" s="27"/>
      <c r="R284" s="28"/>
      <c r="S284" s="28"/>
      <c r="T284" s="27"/>
    </row>
    <row r="285" spans="1:20" x14ac:dyDescent="0.35">
      <c r="A285" s="28"/>
      <c r="B285" s="24"/>
      <c r="C285" s="25"/>
      <c r="D285" s="31"/>
      <c r="E285" s="25"/>
      <c r="F285" s="25"/>
      <c r="G285" s="28"/>
      <c r="H285" s="25"/>
      <c r="I285" s="25"/>
      <c r="J285" s="28"/>
      <c r="K285" s="29"/>
      <c r="L285" s="29"/>
      <c r="M285" s="29"/>
      <c r="N285" s="28"/>
      <c r="O285" s="28"/>
      <c r="P285" s="28"/>
      <c r="Q285" s="27"/>
      <c r="R285" s="28"/>
      <c r="S285" s="28"/>
      <c r="T285" s="27"/>
    </row>
    <row r="286" spans="1:20" x14ac:dyDescent="0.35">
      <c r="A286" s="28"/>
      <c r="B286" s="24"/>
      <c r="C286" s="25"/>
      <c r="D286" s="31"/>
      <c r="E286" s="25"/>
      <c r="F286" s="25"/>
      <c r="G286" s="28"/>
      <c r="H286" s="25"/>
      <c r="I286" s="25"/>
      <c r="J286" s="28"/>
      <c r="K286" s="29"/>
      <c r="L286" s="29"/>
      <c r="M286" s="29"/>
      <c r="N286" s="28"/>
      <c r="O286" s="28"/>
      <c r="P286" s="28"/>
      <c r="Q286" s="27"/>
      <c r="R286" s="28"/>
      <c r="S286" s="28"/>
      <c r="T286" s="27"/>
    </row>
    <row r="287" spans="1:20" x14ac:dyDescent="0.35">
      <c r="A287" s="28"/>
      <c r="B287" s="24"/>
      <c r="C287" s="25"/>
      <c r="D287" s="31"/>
      <c r="E287" s="25"/>
      <c r="F287" s="25"/>
      <c r="G287" s="28"/>
      <c r="H287" s="25"/>
      <c r="I287" s="25"/>
      <c r="J287" s="28"/>
      <c r="K287" s="29"/>
      <c r="L287" s="29"/>
      <c r="M287" s="29"/>
      <c r="N287" s="28"/>
      <c r="O287" s="28"/>
      <c r="P287" s="28"/>
      <c r="Q287" s="27"/>
      <c r="R287" s="28"/>
      <c r="S287" s="28"/>
      <c r="T287" s="27"/>
    </row>
    <row r="288" spans="1:20" x14ac:dyDescent="0.35">
      <c r="A288" s="28"/>
      <c r="B288" s="24"/>
      <c r="C288" s="25"/>
      <c r="D288" s="31"/>
      <c r="E288" s="25"/>
      <c r="F288" s="25"/>
      <c r="G288" s="28"/>
      <c r="H288" s="25"/>
      <c r="I288" s="25"/>
      <c r="J288" s="28"/>
      <c r="K288" s="29"/>
      <c r="L288" s="29"/>
      <c r="M288" s="29"/>
      <c r="N288" s="28"/>
      <c r="O288" s="28"/>
      <c r="P288" s="28"/>
      <c r="Q288" s="27"/>
      <c r="R288" s="28"/>
      <c r="S288" s="28"/>
      <c r="T288" s="27"/>
    </row>
    <row r="289" spans="1:20" x14ac:dyDescent="0.35">
      <c r="A289" s="28"/>
      <c r="B289" s="24"/>
      <c r="C289" s="25"/>
      <c r="D289" s="31"/>
      <c r="E289" s="25"/>
      <c r="F289" s="25"/>
      <c r="G289" s="28"/>
      <c r="H289" s="25"/>
      <c r="I289" s="25"/>
      <c r="J289" s="28"/>
      <c r="K289" s="29"/>
      <c r="L289" s="29"/>
      <c r="M289" s="29"/>
      <c r="N289" s="28"/>
      <c r="O289" s="28"/>
      <c r="P289" s="28"/>
      <c r="Q289" s="27"/>
      <c r="R289" s="28"/>
      <c r="S289" s="28"/>
      <c r="T289" s="27"/>
    </row>
    <row r="290" spans="1:20" x14ac:dyDescent="0.35">
      <c r="A290" s="28"/>
      <c r="B290" s="24"/>
      <c r="C290" s="25"/>
      <c r="D290" s="31"/>
      <c r="E290" s="25"/>
      <c r="F290" s="25"/>
      <c r="G290" s="28"/>
      <c r="H290" s="25"/>
      <c r="I290" s="25"/>
      <c r="J290" s="28"/>
      <c r="K290" s="29"/>
      <c r="L290" s="29"/>
      <c r="M290" s="29"/>
      <c r="N290" s="28"/>
      <c r="O290" s="28"/>
      <c r="P290" s="28"/>
      <c r="Q290" s="27"/>
      <c r="R290" s="28"/>
      <c r="S290" s="28"/>
      <c r="T290" s="27"/>
    </row>
    <row r="291" spans="1:20" x14ac:dyDescent="0.35">
      <c r="A291" s="28"/>
      <c r="B291" s="24"/>
      <c r="C291" s="25"/>
      <c r="D291" s="31"/>
      <c r="E291" s="25"/>
      <c r="F291" s="25"/>
      <c r="G291" s="28"/>
      <c r="H291" s="25"/>
      <c r="I291" s="25"/>
      <c r="J291" s="28"/>
      <c r="K291" s="29"/>
      <c r="L291" s="29"/>
      <c r="M291" s="29"/>
      <c r="N291" s="28"/>
      <c r="O291" s="28"/>
      <c r="P291" s="28"/>
      <c r="Q291" s="27"/>
      <c r="R291" s="28"/>
      <c r="S291" s="28"/>
      <c r="T291" s="27"/>
    </row>
    <row r="292" spans="1:20" x14ac:dyDescent="0.35">
      <c r="A292" s="28"/>
      <c r="B292" s="24"/>
      <c r="C292" s="25"/>
      <c r="D292" s="31"/>
      <c r="E292" s="25"/>
      <c r="F292" s="25"/>
      <c r="G292" s="28"/>
      <c r="H292" s="25"/>
      <c r="I292" s="25"/>
      <c r="J292" s="28"/>
      <c r="K292" s="29"/>
      <c r="L292" s="29"/>
      <c r="M292" s="29"/>
      <c r="N292" s="28"/>
      <c r="O292" s="28"/>
      <c r="P292" s="28"/>
      <c r="Q292" s="27"/>
      <c r="R292" s="28"/>
      <c r="S292" s="28"/>
      <c r="T292" s="27"/>
    </row>
    <row r="293" spans="1:20" x14ac:dyDescent="0.35">
      <c r="A293" s="28"/>
      <c r="B293" s="24"/>
      <c r="C293" s="25"/>
      <c r="D293" s="31"/>
      <c r="E293" s="25"/>
      <c r="F293" s="25"/>
      <c r="G293" s="28"/>
      <c r="H293" s="25"/>
      <c r="I293" s="25"/>
      <c r="J293" s="28"/>
      <c r="K293" s="29"/>
      <c r="L293" s="29"/>
      <c r="M293" s="29"/>
      <c r="N293" s="28"/>
      <c r="O293" s="28"/>
      <c r="P293" s="28"/>
      <c r="Q293" s="27"/>
      <c r="R293" s="28"/>
      <c r="S293" s="28"/>
      <c r="T293" s="27"/>
    </row>
    <row r="294" spans="1:20" x14ac:dyDescent="0.35">
      <c r="A294" s="28"/>
      <c r="B294" s="24"/>
      <c r="C294" s="25"/>
      <c r="D294" s="31"/>
      <c r="E294" s="25"/>
      <c r="F294" s="25"/>
      <c r="G294" s="28"/>
      <c r="H294" s="25"/>
      <c r="I294" s="25"/>
      <c r="J294" s="28"/>
      <c r="K294" s="29"/>
      <c r="L294" s="29"/>
      <c r="M294" s="29"/>
      <c r="N294" s="28"/>
      <c r="O294" s="28"/>
      <c r="P294" s="28"/>
      <c r="Q294" s="27"/>
      <c r="R294" s="28"/>
      <c r="S294" s="28"/>
      <c r="T294" s="27"/>
    </row>
    <row r="295" spans="1:20" x14ac:dyDescent="0.35">
      <c r="A295" s="28"/>
      <c r="B295" s="24"/>
      <c r="C295" s="25"/>
      <c r="D295" s="31"/>
      <c r="E295" s="25"/>
      <c r="F295" s="25"/>
      <c r="G295" s="28"/>
      <c r="H295" s="25"/>
      <c r="I295" s="25"/>
      <c r="J295" s="28"/>
      <c r="K295" s="29"/>
      <c r="L295" s="29"/>
      <c r="M295" s="29"/>
      <c r="N295" s="28"/>
      <c r="O295" s="28"/>
      <c r="P295" s="28"/>
      <c r="Q295" s="27"/>
      <c r="R295" s="28"/>
      <c r="S295" s="28"/>
      <c r="T295" s="27"/>
    </row>
    <row r="296" spans="1:20" x14ac:dyDescent="0.35">
      <c r="A296" s="28"/>
      <c r="B296" s="24"/>
      <c r="C296" s="25"/>
      <c r="D296" s="31"/>
      <c r="E296" s="25"/>
      <c r="F296" s="25"/>
      <c r="G296" s="28"/>
      <c r="H296" s="25"/>
      <c r="I296" s="25"/>
      <c r="J296" s="28"/>
      <c r="K296" s="29"/>
      <c r="L296" s="29"/>
      <c r="M296" s="29"/>
      <c r="N296" s="28"/>
      <c r="O296" s="28"/>
      <c r="P296" s="28"/>
      <c r="Q296" s="27"/>
      <c r="R296" s="28"/>
      <c r="S296" s="28"/>
      <c r="T296" s="27"/>
    </row>
    <row r="297" spans="1:20" x14ac:dyDescent="0.35">
      <c r="A297" s="28"/>
      <c r="B297" s="24"/>
      <c r="C297" s="25"/>
      <c r="D297" s="31"/>
      <c r="E297" s="25"/>
      <c r="F297" s="25"/>
      <c r="G297" s="28"/>
      <c r="H297" s="25"/>
      <c r="I297" s="25"/>
      <c r="J297" s="28"/>
      <c r="K297" s="29"/>
      <c r="L297" s="29"/>
      <c r="M297" s="29"/>
      <c r="N297" s="28"/>
      <c r="O297" s="28"/>
      <c r="P297" s="28"/>
      <c r="Q297" s="27"/>
      <c r="R297" s="28"/>
      <c r="S297" s="28"/>
      <c r="T297" s="27"/>
    </row>
    <row r="298" spans="1:20" x14ac:dyDescent="0.35">
      <c r="A298" s="28"/>
      <c r="B298" s="24"/>
      <c r="C298" s="25"/>
      <c r="D298" s="31"/>
      <c r="E298" s="25"/>
      <c r="F298" s="25"/>
      <c r="G298" s="28"/>
      <c r="H298" s="25"/>
      <c r="I298" s="25"/>
      <c r="J298" s="28"/>
      <c r="K298" s="29"/>
      <c r="L298" s="29"/>
      <c r="M298" s="29"/>
      <c r="N298" s="28"/>
      <c r="O298" s="28"/>
      <c r="P298" s="28"/>
      <c r="Q298" s="27"/>
      <c r="R298" s="28"/>
      <c r="S298" s="28"/>
      <c r="T298" s="27"/>
    </row>
    <row r="299" spans="1:20" x14ac:dyDescent="0.35">
      <c r="A299" s="28"/>
      <c r="B299" s="24"/>
      <c r="C299" s="25"/>
      <c r="D299" s="31"/>
      <c r="E299" s="25"/>
      <c r="F299" s="25"/>
      <c r="G299" s="28"/>
      <c r="H299" s="25"/>
      <c r="I299" s="25"/>
      <c r="J299" s="28"/>
      <c r="K299" s="29"/>
      <c r="L299" s="29"/>
      <c r="M299" s="29"/>
      <c r="N299" s="28"/>
      <c r="O299" s="28"/>
      <c r="P299" s="28"/>
      <c r="Q299" s="27"/>
      <c r="R299" s="28"/>
      <c r="S299" s="28"/>
      <c r="T299" s="27"/>
    </row>
    <row r="300" spans="1:20" x14ac:dyDescent="0.35">
      <c r="A300" s="28"/>
      <c r="B300" s="24"/>
      <c r="C300" s="25"/>
      <c r="D300" s="31"/>
      <c r="E300" s="25"/>
      <c r="F300" s="25"/>
      <c r="G300" s="28"/>
      <c r="H300" s="25"/>
      <c r="I300" s="25"/>
      <c r="J300" s="28"/>
      <c r="K300" s="29"/>
      <c r="L300" s="29"/>
      <c r="M300" s="29"/>
      <c r="N300" s="28"/>
      <c r="O300" s="28"/>
      <c r="P300" s="28"/>
      <c r="Q300" s="27"/>
      <c r="R300" s="28"/>
      <c r="S300" s="28"/>
      <c r="T300" s="27"/>
    </row>
    <row r="301" spans="1:20" x14ac:dyDescent="0.35">
      <c r="A301" s="28"/>
      <c r="B301" s="24"/>
      <c r="C301" s="25"/>
      <c r="D301" s="31"/>
      <c r="E301" s="25"/>
      <c r="F301" s="25"/>
      <c r="G301" s="28"/>
      <c r="H301" s="25"/>
      <c r="I301" s="25"/>
      <c r="J301" s="28"/>
      <c r="K301" s="29"/>
      <c r="L301" s="29"/>
      <c r="M301" s="29"/>
      <c r="N301" s="28"/>
      <c r="O301" s="28"/>
      <c r="P301" s="28"/>
      <c r="Q301" s="27"/>
      <c r="R301" s="28"/>
      <c r="S301" s="28"/>
      <c r="T301" s="27"/>
    </row>
    <row r="302" spans="1:20" x14ac:dyDescent="0.35">
      <c r="A302" s="28"/>
      <c r="B302" s="24"/>
      <c r="C302" s="25"/>
      <c r="D302" s="31"/>
      <c r="E302" s="25"/>
      <c r="F302" s="25"/>
      <c r="G302" s="28"/>
      <c r="H302" s="25"/>
      <c r="I302" s="25"/>
      <c r="J302" s="28"/>
      <c r="K302" s="29"/>
      <c r="L302" s="29"/>
      <c r="M302" s="29"/>
      <c r="N302" s="28"/>
      <c r="O302" s="28"/>
      <c r="P302" s="28"/>
      <c r="Q302" s="27"/>
      <c r="R302" s="28"/>
      <c r="S302" s="28"/>
      <c r="T302" s="27"/>
    </row>
    <row r="303" spans="1:20" x14ac:dyDescent="0.35">
      <c r="A303" s="28"/>
      <c r="B303" s="24"/>
      <c r="C303" s="25"/>
      <c r="D303" s="31"/>
      <c r="E303" s="25"/>
      <c r="F303" s="25"/>
      <c r="G303" s="28"/>
      <c r="H303" s="25"/>
      <c r="I303" s="25"/>
      <c r="J303" s="28"/>
      <c r="K303" s="29"/>
      <c r="L303" s="29"/>
      <c r="M303" s="29"/>
      <c r="N303" s="28"/>
      <c r="O303" s="28"/>
      <c r="P303" s="28"/>
      <c r="Q303" s="27"/>
      <c r="R303" s="28"/>
      <c r="S303" s="28"/>
      <c r="T303" s="27"/>
    </row>
    <row r="304" spans="1:20" x14ac:dyDescent="0.35">
      <c r="A304" s="28"/>
      <c r="B304" s="24"/>
      <c r="C304" s="25"/>
      <c r="D304" s="31"/>
      <c r="E304" s="25"/>
      <c r="F304" s="25"/>
      <c r="G304" s="28"/>
      <c r="H304" s="25"/>
      <c r="I304" s="25"/>
      <c r="J304" s="28"/>
      <c r="K304" s="29"/>
      <c r="L304" s="29"/>
      <c r="M304" s="29"/>
      <c r="N304" s="28"/>
      <c r="O304" s="28"/>
      <c r="P304" s="28"/>
      <c r="Q304" s="27"/>
      <c r="R304" s="28"/>
      <c r="S304" s="28"/>
      <c r="T304" s="27"/>
    </row>
    <row r="305" spans="1:20" x14ac:dyDescent="0.35">
      <c r="A305" s="28"/>
      <c r="B305" s="24"/>
      <c r="C305" s="25"/>
      <c r="D305" s="31"/>
      <c r="E305" s="25"/>
      <c r="F305" s="25"/>
      <c r="G305" s="28"/>
      <c r="H305" s="25"/>
      <c r="I305" s="25"/>
      <c r="J305" s="28"/>
      <c r="K305" s="29"/>
      <c r="L305" s="29"/>
      <c r="M305" s="29"/>
      <c r="N305" s="28"/>
      <c r="O305" s="28"/>
      <c r="P305" s="28"/>
      <c r="Q305" s="27"/>
      <c r="R305" s="28"/>
      <c r="S305" s="28"/>
      <c r="T305" s="27"/>
    </row>
    <row r="306" spans="1:20" x14ac:dyDescent="0.35">
      <c r="A306" s="28"/>
      <c r="B306" s="24"/>
      <c r="C306" s="25"/>
      <c r="D306" s="31"/>
      <c r="E306" s="25"/>
      <c r="F306" s="25"/>
      <c r="G306" s="28"/>
      <c r="H306" s="25"/>
      <c r="I306" s="25"/>
      <c r="J306" s="28"/>
      <c r="K306" s="29"/>
      <c r="L306" s="29"/>
      <c r="M306" s="29"/>
      <c r="N306" s="28"/>
      <c r="O306" s="28"/>
      <c r="P306" s="28"/>
      <c r="Q306" s="27"/>
      <c r="R306" s="28"/>
      <c r="S306" s="28"/>
      <c r="T306" s="27"/>
    </row>
    <row r="307" spans="1:20" x14ac:dyDescent="0.35">
      <c r="A307" s="28"/>
      <c r="B307" s="24"/>
      <c r="C307" s="25"/>
      <c r="D307" s="31"/>
      <c r="E307" s="25"/>
      <c r="F307" s="25"/>
      <c r="G307" s="28"/>
      <c r="H307" s="25"/>
      <c r="I307" s="25"/>
      <c r="J307" s="28"/>
      <c r="K307" s="29"/>
      <c r="L307" s="29"/>
      <c r="M307" s="29"/>
      <c r="N307" s="28"/>
      <c r="O307" s="28"/>
      <c r="P307" s="28"/>
      <c r="Q307" s="27"/>
      <c r="R307" s="28"/>
      <c r="S307" s="28"/>
      <c r="T307" s="27"/>
    </row>
    <row r="308" spans="1:20" x14ac:dyDescent="0.35">
      <c r="A308" s="28"/>
      <c r="B308" s="24"/>
      <c r="C308" s="25"/>
      <c r="D308" s="31"/>
      <c r="E308" s="25"/>
      <c r="F308" s="25"/>
      <c r="G308" s="28"/>
      <c r="H308" s="25"/>
      <c r="I308" s="25"/>
      <c r="J308" s="28"/>
      <c r="K308" s="29"/>
      <c r="L308" s="29"/>
      <c r="M308" s="29"/>
      <c r="N308" s="28"/>
      <c r="O308" s="28"/>
      <c r="P308" s="28"/>
      <c r="Q308" s="27"/>
      <c r="R308" s="28"/>
      <c r="S308" s="28"/>
      <c r="T308" s="27"/>
    </row>
    <row r="309" spans="1:20" x14ac:dyDescent="0.35">
      <c r="A309" s="28"/>
      <c r="B309" s="24"/>
      <c r="C309" s="25"/>
      <c r="D309" s="31"/>
      <c r="E309" s="25"/>
      <c r="F309" s="25"/>
      <c r="G309" s="28"/>
      <c r="H309" s="25"/>
      <c r="I309" s="25"/>
      <c r="J309" s="28"/>
      <c r="K309" s="29"/>
      <c r="L309" s="29"/>
      <c r="M309" s="29"/>
      <c r="N309" s="28"/>
      <c r="O309" s="28"/>
      <c r="P309" s="28"/>
      <c r="Q309" s="27"/>
      <c r="R309" s="28"/>
      <c r="S309" s="28"/>
      <c r="T309" s="27"/>
    </row>
    <row r="310" spans="1:20" x14ac:dyDescent="0.35">
      <c r="A310" s="28"/>
      <c r="B310" s="24"/>
      <c r="C310" s="25"/>
      <c r="D310" s="31"/>
      <c r="E310" s="25"/>
      <c r="F310" s="25"/>
      <c r="G310" s="28"/>
      <c r="H310" s="25"/>
      <c r="I310" s="25"/>
      <c r="J310" s="28"/>
      <c r="K310" s="29"/>
      <c r="L310" s="29"/>
      <c r="M310" s="29"/>
      <c r="N310" s="28"/>
      <c r="O310" s="28"/>
      <c r="P310" s="28"/>
      <c r="Q310" s="27"/>
      <c r="R310" s="28"/>
      <c r="S310" s="28"/>
      <c r="T310" s="27"/>
    </row>
    <row r="311" spans="1:20" x14ac:dyDescent="0.35">
      <c r="A311" s="28"/>
      <c r="B311" s="24"/>
      <c r="C311" s="25"/>
      <c r="D311" s="31"/>
      <c r="E311" s="25"/>
      <c r="F311" s="25"/>
      <c r="G311" s="28"/>
      <c r="H311" s="25"/>
      <c r="I311" s="25"/>
      <c r="J311" s="28"/>
      <c r="K311" s="29"/>
      <c r="L311" s="29"/>
      <c r="M311" s="29"/>
      <c r="N311" s="28"/>
      <c r="O311" s="28"/>
      <c r="P311" s="28"/>
      <c r="Q311" s="27"/>
      <c r="R311" s="28"/>
      <c r="S311" s="28"/>
      <c r="T311" s="27"/>
    </row>
    <row r="312" spans="1:20" x14ac:dyDescent="0.35">
      <c r="A312" s="28"/>
      <c r="B312" s="24"/>
      <c r="C312" s="25"/>
      <c r="D312" s="31"/>
      <c r="E312" s="25"/>
      <c r="F312" s="25"/>
      <c r="G312" s="28"/>
      <c r="H312" s="25"/>
      <c r="I312" s="25"/>
      <c r="J312" s="28"/>
      <c r="K312" s="29"/>
      <c r="L312" s="29"/>
      <c r="M312" s="29"/>
      <c r="N312" s="28"/>
      <c r="O312" s="28"/>
      <c r="P312" s="28"/>
      <c r="Q312" s="27"/>
      <c r="R312" s="28"/>
      <c r="S312" s="28"/>
      <c r="T312" s="27"/>
    </row>
    <row r="313" spans="1:20" x14ac:dyDescent="0.35">
      <c r="A313" s="28"/>
      <c r="B313" s="24"/>
      <c r="C313" s="25"/>
      <c r="D313" s="31"/>
      <c r="E313" s="25"/>
      <c r="F313" s="25"/>
      <c r="G313" s="28"/>
      <c r="H313" s="25"/>
      <c r="I313" s="25"/>
      <c r="J313" s="28"/>
      <c r="K313" s="29"/>
      <c r="L313" s="29"/>
      <c r="M313" s="29"/>
      <c r="N313" s="28"/>
      <c r="O313" s="28"/>
      <c r="P313" s="28"/>
      <c r="Q313" s="27"/>
      <c r="R313" s="28"/>
      <c r="S313" s="28"/>
      <c r="T313" s="27"/>
    </row>
    <row r="314" spans="1:20" x14ac:dyDescent="0.35">
      <c r="A314" s="28"/>
      <c r="B314" s="24"/>
      <c r="C314" s="25"/>
      <c r="D314" s="31"/>
      <c r="E314" s="25"/>
      <c r="F314" s="25"/>
      <c r="G314" s="28"/>
      <c r="H314" s="25"/>
      <c r="I314" s="25"/>
      <c r="J314" s="28"/>
      <c r="K314" s="29"/>
      <c r="L314" s="29"/>
      <c r="M314" s="29"/>
      <c r="N314" s="28"/>
      <c r="O314" s="28"/>
      <c r="P314" s="28"/>
      <c r="Q314" s="27"/>
      <c r="R314" s="28"/>
      <c r="S314" s="28"/>
      <c r="T314" s="27"/>
    </row>
    <row r="315" spans="1:20" x14ac:dyDescent="0.35">
      <c r="A315" s="28"/>
      <c r="B315" s="24"/>
      <c r="C315" s="25"/>
      <c r="D315" s="31"/>
      <c r="E315" s="25"/>
      <c r="F315" s="25"/>
      <c r="G315" s="28"/>
      <c r="H315" s="25"/>
      <c r="I315" s="25"/>
      <c r="J315" s="28"/>
      <c r="K315" s="29"/>
      <c r="L315" s="29"/>
      <c r="M315" s="29"/>
      <c r="N315" s="28"/>
      <c r="O315" s="28"/>
      <c r="P315" s="28"/>
      <c r="Q315" s="27"/>
      <c r="R315" s="28"/>
      <c r="S315" s="28"/>
      <c r="T315" s="27"/>
    </row>
    <row r="316" spans="1:20" x14ac:dyDescent="0.35">
      <c r="A316" s="28"/>
      <c r="B316" s="24"/>
      <c r="C316" s="25"/>
      <c r="D316" s="31"/>
      <c r="E316" s="25"/>
      <c r="F316" s="25"/>
      <c r="G316" s="28"/>
      <c r="H316" s="25"/>
      <c r="I316" s="25"/>
      <c r="J316" s="28"/>
      <c r="K316" s="29"/>
      <c r="L316" s="29"/>
      <c r="M316" s="29"/>
      <c r="N316" s="28"/>
      <c r="O316" s="28"/>
      <c r="P316" s="28"/>
      <c r="Q316" s="27"/>
      <c r="R316" s="28"/>
      <c r="S316" s="28"/>
      <c r="T316" s="27"/>
    </row>
    <row r="317" spans="1:20" x14ac:dyDescent="0.35">
      <c r="A317" s="28"/>
      <c r="B317" s="24"/>
      <c r="C317" s="25"/>
      <c r="D317" s="31"/>
      <c r="E317" s="25"/>
      <c r="F317" s="25"/>
      <c r="G317" s="28"/>
      <c r="H317" s="25"/>
      <c r="I317" s="25"/>
      <c r="J317" s="28"/>
      <c r="K317" s="29"/>
      <c r="L317" s="29"/>
      <c r="M317" s="29"/>
      <c r="N317" s="28"/>
      <c r="O317" s="28"/>
      <c r="P317" s="28"/>
      <c r="Q317" s="27"/>
      <c r="R317" s="28"/>
      <c r="S317" s="28"/>
      <c r="T317" s="27"/>
    </row>
    <row r="318" spans="1:20" x14ac:dyDescent="0.35">
      <c r="A318" s="28"/>
      <c r="B318" s="24"/>
      <c r="C318" s="25"/>
      <c r="D318" s="31"/>
      <c r="E318" s="25"/>
      <c r="F318" s="25"/>
      <c r="G318" s="28"/>
      <c r="H318" s="25"/>
      <c r="I318" s="25"/>
      <c r="J318" s="28"/>
      <c r="K318" s="29"/>
      <c r="L318" s="29"/>
      <c r="M318" s="29"/>
      <c r="N318" s="28"/>
      <c r="O318" s="28"/>
      <c r="P318" s="28"/>
      <c r="Q318" s="27"/>
      <c r="R318" s="28"/>
      <c r="S318" s="28"/>
      <c r="T318" s="27"/>
    </row>
    <row r="319" spans="1:20" x14ac:dyDescent="0.35">
      <c r="A319" s="28"/>
      <c r="B319" s="24"/>
      <c r="C319" s="25"/>
      <c r="D319" s="31"/>
      <c r="E319" s="25"/>
      <c r="F319" s="25"/>
      <c r="G319" s="28"/>
      <c r="H319" s="25"/>
      <c r="I319" s="25"/>
      <c r="J319" s="28"/>
      <c r="K319" s="29"/>
      <c r="L319" s="29"/>
      <c r="M319" s="29"/>
      <c r="N319" s="28"/>
      <c r="O319" s="28"/>
      <c r="P319" s="28"/>
      <c r="Q319" s="27"/>
      <c r="R319" s="28"/>
      <c r="S319" s="28"/>
      <c r="T319" s="27"/>
    </row>
    <row r="320" spans="1:20" x14ac:dyDescent="0.35">
      <c r="A320" s="28"/>
      <c r="B320" s="24"/>
      <c r="C320" s="25"/>
      <c r="D320" s="31"/>
      <c r="E320" s="25"/>
      <c r="F320" s="25"/>
      <c r="G320" s="28"/>
      <c r="H320" s="25"/>
      <c r="I320" s="25"/>
      <c r="J320" s="28"/>
      <c r="K320" s="29"/>
      <c r="L320" s="29"/>
      <c r="M320" s="29"/>
      <c r="N320" s="28"/>
      <c r="O320" s="28"/>
      <c r="P320" s="28"/>
      <c r="Q320" s="27"/>
      <c r="R320" s="28"/>
      <c r="S320" s="28"/>
      <c r="T320" s="27"/>
    </row>
    <row r="321" spans="1:20" x14ac:dyDescent="0.35">
      <c r="A321" s="28"/>
      <c r="B321" s="24"/>
      <c r="C321" s="25"/>
      <c r="D321" s="31"/>
      <c r="E321" s="25"/>
      <c r="F321" s="25"/>
      <c r="G321" s="28"/>
      <c r="H321" s="25"/>
      <c r="I321" s="25"/>
      <c r="J321" s="28"/>
      <c r="K321" s="29"/>
      <c r="L321" s="29"/>
      <c r="M321" s="29"/>
      <c r="N321" s="28"/>
      <c r="O321" s="28"/>
      <c r="P321" s="28"/>
      <c r="Q321" s="27"/>
      <c r="R321" s="28"/>
      <c r="S321" s="28"/>
      <c r="T321" s="27"/>
    </row>
    <row r="322" spans="1:20" x14ac:dyDescent="0.35">
      <c r="A322" s="28"/>
      <c r="B322" s="24"/>
      <c r="C322" s="25"/>
      <c r="D322" s="31"/>
      <c r="E322" s="25"/>
      <c r="F322" s="25"/>
      <c r="G322" s="28"/>
      <c r="H322" s="25"/>
      <c r="I322" s="25"/>
      <c r="J322" s="28"/>
      <c r="K322" s="29"/>
      <c r="L322" s="29"/>
      <c r="M322" s="29"/>
      <c r="N322" s="28"/>
      <c r="O322" s="28"/>
      <c r="P322" s="28"/>
      <c r="Q322" s="27"/>
      <c r="R322" s="28"/>
      <c r="S322" s="28"/>
      <c r="T322" s="27"/>
    </row>
    <row r="323" spans="1:20" x14ac:dyDescent="0.35">
      <c r="A323" s="28"/>
      <c r="B323" s="24"/>
      <c r="C323" s="25"/>
      <c r="D323" s="31"/>
      <c r="E323" s="25"/>
      <c r="F323" s="25"/>
      <c r="G323" s="28"/>
      <c r="H323" s="25"/>
      <c r="I323" s="25"/>
      <c r="J323" s="28"/>
      <c r="K323" s="29"/>
      <c r="L323" s="29"/>
      <c r="M323" s="29"/>
      <c r="N323" s="28"/>
      <c r="O323" s="28"/>
      <c r="P323" s="28"/>
      <c r="Q323" s="27"/>
      <c r="R323" s="28"/>
      <c r="S323" s="28"/>
      <c r="T323" s="27"/>
    </row>
    <row r="324" spans="1:20" x14ac:dyDescent="0.35">
      <c r="A324" s="28"/>
      <c r="B324" s="24"/>
      <c r="C324" s="25"/>
      <c r="D324" s="31"/>
      <c r="E324" s="25"/>
      <c r="F324" s="25"/>
      <c r="G324" s="28"/>
      <c r="H324" s="25"/>
      <c r="I324" s="25"/>
      <c r="J324" s="28"/>
      <c r="K324" s="29"/>
      <c r="L324" s="29"/>
      <c r="M324" s="29"/>
      <c r="N324" s="28"/>
      <c r="O324" s="28"/>
      <c r="P324" s="28"/>
      <c r="Q324" s="27"/>
      <c r="R324" s="28"/>
      <c r="S324" s="28"/>
      <c r="T324" s="27"/>
    </row>
    <row r="325" spans="1:20" x14ac:dyDescent="0.35">
      <c r="A325" s="28"/>
      <c r="B325" s="24"/>
      <c r="C325" s="25"/>
      <c r="D325" s="31"/>
      <c r="E325" s="25"/>
      <c r="F325" s="25"/>
      <c r="G325" s="28"/>
      <c r="H325" s="25"/>
      <c r="I325" s="25"/>
      <c r="J325" s="28"/>
      <c r="K325" s="29"/>
      <c r="L325" s="29"/>
      <c r="M325" s="29"/>
      <c r="N325" s="28"/>
      <c r="O325" s="28"/>
      <c r="P325" s="28"/>
      <c r="Q325" s="27"/>
      <c r="R325" s="28"/>
      <c r="S325" s="28"/>
      <c r="T325" s="27"/>
    </row>
    <row r="326" spans="1:20" x14ac:dyDescent="0.35">
      <c r="A326" s="28"/>
      <c r="B326" s="24"/>
      <c r="C326" s="25"/>
      <c r="D326" s="31"/>
      <c r="E326" s="25"/>
      <c r="F326" s="25"/>
      <c r="G326" s="28"/>
      <c r="H326" s="25"/>
      <c r="I326" s="25"/>
      <c r="J326" s="28"/>
      <c r="K326" s="29"/>
      <c r="L326" s="29"/>
      <c r="M326" s="29"/>
      <c r="N326" s="28"/>
      <c r="O326" s="28"/>
      <c r="P326" s="28"/>
      <c r="Q326" s="27"/>
      <c r="R326" s="28"/>
      <c r="S326" s="28"/>
      <c r="T326" s="27"/>
    </row>
    <row r="327" spans="1:20" x14ac:dyDescent="0.35">
      <c r="A327" s="28"/>
      <c r="B327" s="24"/>
      <c r="C327" s="25"/>
      <c r="D327" s="31"/>
      <c r="E327" s="25"/>
      <c r="F327" s="25"/>
      <c r="G327" s="28"/>
      <c r="H327" s="25"/>
      <c r="I327" s="25"/>
      <c r="J327" s="28"/>
      <c r="K327" s="29"/>
      <c r="L327" s="29"/>
      <c r="M327" s="29"/>
      <c r="N327" s="28"/>
      <c r="O327" s="28"/>
      <c r="P327" s="28"/>
      <c r="Q327" s="27"/>
      <c r="R327" s="28"/>
      <c r="S327" s="28"/>
      <c r="T327" s="27"/>
    </row>
    <row r="328" spans="1:20" x14ac:dyDescent="0.35">
      <c r="A328" s="28"/>
      <c r="B328" s="24"/>
      <c r="C328" s="25"/>
      <c r="D328" s="31"/>
      <c r="E328" s="25"/>
      <c r="F328" s="25"/>
      <c r="G328" s="28"/>
      <c r="H328" s="25"/>
      <c r="I328" s="25"/>
      <c r="J328" s="28"/>
      <c r="K328" s="29"/>
      <c r="L328" s="29"/>
      <c r="M328" s="29"/>
      <c r="N328" s="28"/>
      <c r="O328" s="28"/>
      <c r="P328" s="28"/>
      <c r="Q328" s="27"/>
      <c r="R328" s="28"/>
      <c r="S328" s="28"/>
      <c r="T328" s="27"/>
    </row>
    <row r="329" spans="1:20" x14ac:dyDescent="0.35">
      <c r="A329" s="28"/>
      <c r="B329" s="24"/>
      <c r="C329" s="25"/>
      <c r="D329" s="31"/>
      <c r="E329" s="25"/>
      <c r="F329" s="25"/>
      <c r="G329" s="28"/>
      <c r="H329" s="25"/>
      <c r="I329" s="25"/>
      <c r="J329" s="28"/>
      <c r="K329" s="29"/>
      <c r="L329" s="29"/>
      <c r="M329" s="29"/>
      <c r="N329" s="28"/>
      <c r="O329" s="28"/>
      <c r="P329" s="28"/>
      <c r="Q329" s="27"/>
      <c r="R329" s="28"/>
      <c r="S329" s="28"/>
      <c r="T329" s="27"/>
    </row>
    <row r="330" spans="1:20" x14ac:dyDescent="0.35">
      <c r="A330" s="28"/>
      <c r="B330" s="24"/>
      <c r="C330" s="25"/>
      <c r="D330" s="31"/>
      <c r="E330" s="25"/>
      <c r="F330" s="25"/>
      <c r="G330" s="28"/>
      <c r="H330" s="25"/>
      <c r="I330" s="25"/>
      <c r="J330" s="28"/>
      <c r="K330" s="29"/>
      <c r="L330" s="29"/>
      <c r="M330" s="29"/>
      <c r="N330" s="28"/>
      <c r="O330" s="28"/>
      <c r="P330" s="28"/>
      <c r="Q330" s="27"/>
      <c r="R330" s="28"/>
      <c r="S330" s="28"/>
      <c r="T330" s="27"/>
    </row>
    <row r="331" spans="1:20" x14ac:dyDescent="0.35">
      <c r="A331" s="28"/>
      <c r="B331" s="24"/>
      <c r="C331" s="25"/>
      <c r="D331" s="31"/>
      <c r="E331" s="25"/>
      <c r="F331" s="25"/>
      <c r="G331" s="28"/>
      <c r="H331" s="25"/>
      <c r="I331" s="25"/>
      <c r="J331" s="28"/>
      <c r="K331" s="29"/>
      <c r="L331" s="29"/>
      <c r="M331" s="29"/>
      <c r="N331" s="28"/>
      <c r="O331" s="28"/>
      <c r="P331" s="28"/>
      <c r="Q331" s="27"/>
      <c r="R331" s="28"/>
      <c r="S331" s="28"/>
      <c r="T331" s="27"/>
    </row>
    <row r="332" spans="1:20" x14ac:dyDescent="0.35">
      <c r="A332" s="28"/>
      <c r="B332" s="24"/>
      <c r="C332" s="25"/>
      <c r="D332" s="31"/>
      <c r="E332" s="25"/>
      <c r="F332" s="25"/>
      <c r="G332" s="28"/>
      <c r="H332" s="25"/>
      <c r="I332" s="25"/>
      <c r="J332" s="28"/>
      <c r="K332" s="29"/>
      <c r="L332" s="29"/>
      <c r="M332" s="29"/>
      <c r="N332" s="28"/>
      <c r="O332" s="28"/>
      <c r="P332" s="28"/>
      <c r="Q332" s="27"/>
      <c r="R332" s="28"/>
      <c r="S332" s="28"/>
      <c r="T332" s="27"/>
    </row>
    <row r="333" spans="1:20" x14ac:dyDescent="0.35">
      <c r="A333" s="28"/>
      <c r="B333" s="24"/>
      <c r="C333" s="25"/>
      <c r="D333" s="31"/>
      <c r="E333" s="25"/>
      <c r="F333" s="25"/>
      <c r="G333" s="28"/>
      <c r="H333" s="25"/>
      <c r="I333" s="25"/>
      <c r="J333" s="28"/>
      <c r="K333" s="29"/>
      <c r="L333" s="29"/>
      <c r="M333" s="29"/>
      <c r="N333" s="28"/>
      <c r="O333" s="28"/>
      <c r="P333" s="28"/>
      <c r="Q333" s="27"/>
      <c r="R333" s="28"/>
      <c r="S333" s="28"/>
      <c r="T333" s="27"/>
    </row>
    <row r="334" spans="1:20" x14ac:dyDescent="0.35">
      <c r="A334" s="28"/>
      <c r="B334" s="24"/>
      <c r="C334" s="25"/>
      <c r="D334" s="31"/>
      <c r="E334" s="25"/>
      <c r="F334" s="25"/>
      <c r="G334" s="28"/>
      <c r="H334" s="25"/>
      <c r="I334" s="25"/>
      <c r="J334" s="28"/>
      <c r="K334" s="29"/>
      <c r="L334" s="29"/>
      <c r="M334" s="29"/>
      <c r="N334" s="28"/>
      <c r="O334" s="28"/>
      <c r="P334" s="28"/>
      <c r="Q334" s="27"/>
      <c r="R334" s="28"/>
      <c r="S334" s="28"/>
      <c r="T334" s="27"/>
    </row>
    <row r="335" spans="1:20" x14ac:dyDescent="0.35">
      <c r="A335" s="28"/>
      <c r="B335" s="24"/>
      <c r="C335" s="25"/>
      <c r="D335" s="31"/>
      <c r="E335" s="25"/>
      <c r="F335" s="25"/>
      <c r="G335" s="28"/>
      <c r="H335" s="25"/>
      <c r="I335" s="25"/>
      <c r="J335" s="28"/>
      <c r="K335" s="29"/>
      <c r="L335" s="29"/>
      <c r="M335" s="29"/>
      <c r="N335" s="28"/>
      <c r="O335" s="28"/>
      <c r="P335" s="28"/>
      <c r="Q335" s="27"/>
      <c r="R335" s="28"/>
      <c r="S335" s="28"/>
      <c r="T335" s="27"/>
    </row>
    <row r="336" spans="1:20" x14ac:dyDescent="0.35">
      <c r="A336" s="28"/>
      <c r="B336" s="24"/>
      <c r="C336" s="25"/>
      <c r="D336" s="31"/>
      <c r="E336" s="25"/>
      <c r="F336" s="25"/>
      <c r="G336" s="28"/>
      <c r="H336" s="25"/>
      <c r="I336" s="25"/>
      <c r="J336" s="28"/>
      <c r="K336" s="29"/>
      <c r="L336" s="29"/>
      <c r="M336" s="29"/>
      <c r="N336" s="28"/>
      <c r="O336" s="28"/>
      <c r="P336" s="28"/>
      <c r="Q336" s="27"/>
      <c r="R336" s="28"/>
      <c r="S336" s="28"/>
      <c r="T336" s="27"/>
    </row>
    <row r="337" spans="1:20" x14ac:dyDescent="0.35">
      <c r="A337" s="28"/>
      <c r="B337" s="24"/>
      <c r="C337" s="25"/>
      <c r="D337" s="31"/>
      <c r="E337" s="25"/>
      <c r="F337" s="25"/>
      <c r="G337" s="28"/>
      <c r="H337" s="25"/>
      <c r="I337" s="25"/>
      <c r="J337" s="28"/>
      <c r="K337" s="29"/>
      <c r="L337" s="29"/>
      <c r="M337" s="29"/>
      <c r="N337" s="28"/>
      <c r="O337" s="28"/>
      <c r="P337" s="28"/>
      <c r="Q337" s="27"/>
      <c r="R337" s="28"/>
      <c r="S337" s="28"/>
      <c r="T337" s="27"/>
    </row>
    <row r="338" spans="1:20" x14ac:dyDescent="0.35">
      <c r="A338" s="28"/>
      <c r="B338" s="24"/>
      <c r="C338" s="25"/>
      <c r="D338" s="31"/>
      <c r="E338" s="25"/>
      <c r="F338" s="25"/>
      <c r="G338" s="28"/>
      <c r="H338" s="25"/>
      <c r="I338" s="25"/>
      <c r="J338" s="28"/>
      <c r="K338" s="29"/>
      <c r="L338" s="29"/>
      <c r="M338" s="29"/>
      <c r="N338" s="28"/>
      <c r="O338" s="28"/>
      <c r="P338" s="28"/>
      <c r="Q338" s="27"/>
      <c r="R338" s="28"/>
      <c r="S338" s="28"/>
      <c r="T338" s="27"/>
    </row>
    <row r="339" spans="1:20" x14ac:dyDescent="0.35">
      <c r="A339" s="28"/>
      <c r="B339" s="24"/>
      <c r="C339" s="25"/>
      <c r="D339" s="31"/>
      <c r="E339" s="25"/>
      <c r="F339" s="25"/>
      <c r="G339" s="28"/>
      <c r="H339" s="25"/>
      <c r="I339" s="25"/>
      <c r="J339" s="28"/>
      <c r="K339" s="29"/>
      <c r="L339" s="29"/>
      <c r="M339" s="29"/>
      <c r="N339" s="28"/>
      <c r="O339" s="28"/>
      <c r="P339" s="28"/>
      <c r="Q339" s="27"/>
      <c r="R339" s="28"/>
      <c r="S339" s="28"/>
      <c r="T339" s="27"/>
    </row>
    <row r="340" spans="1:20" x14ac:dyDescent="0.35">
      <c r="A340" s="28"/>
      <c r="B340" s="24"/>
      <c r="C340" s="25"/>
      <c r="D340" s="31"/>
      <c r="E340" s="25"/>
      <c r="F340" s="25"/>
      <c r="G340" s="28"/>
      <c r="H340" s="25"/>
      <c r="I340" s="25"/>
      <c r="J340" s="28"/>
      <c r="K340" s="29"/>
      <c r="L340" s="29"/>
      <c r="M340" s="29"/>
      <c r="N340" s="28"/>
      <c r="O340" s="28"/>
      <c r="P340" s="28"/>
      <c r="Q340" s="27"/>
      <c r="R340" s="28"/>
      <c r="S340" s="28"/>
      <c r="T340" s="27"/>
    </row>
    <row r="341" spans="1:20" x14ac:dyDescent="0.35">
      <c r="A341" s="28"/>
      <c r="B341" s="24"/>
      <c r="C341" s="25"/>
      <c r="D341" s="31"/>
      <c r="E341" s="25"/>
      <c r="F341" s="25"/>
      <c r="G341" s="28"/>
      <c r="H341" s="25"/>
      <c r="I341" s="25"/>
      <c r="J341" s="28"/>
      <c r="K341" s="29"/>
      <c r="L341" s="29"/>
      <c r="M341" s="29"/>
      <c r="N341" s="28"/>
      <c r="O341" s="28"/>
      <c r="P341" s="28"/>
      <c r="Q341" s="27"/>
      <c r="R341" s="28"/>
      <c r="S341" s="28"/>
      <c r="T341" s="27"/>
    </row>
    <row r="342" spans="1:20" x14ac:dyDescent="0.35">
      <c r="A342" s="28"/>
      <c r="B342" s="24"/>
      <c r="C342" s="25"/>
      <c r="D342" s="31"/>
      <c r="E342" s="25"/>
      <c r="F342" s="25"/>
      <c r="G342" s="28"/>
      <c r="H342" s="25"/>
      <c r="I342" s="25"/>
      <c r="J342" s="28"/>
      <c r="K342" s="29"/>
      <c r="L342" s="29"/>
      <c r="M342" s="29"/>
      <c r="N342" s="28"/>
      <c r="O342" s="28"/>
      <c r="P342" s="28"/>
      <c r="Q342" s="27"/>
      <c r="R342" s="28"/>
      <c r="S342" s="28"/>
      <c r="T342" s="27"/>
    </row>
    <row r="343" spans="1:20" x14ac:dyDescent="0.35">
      <c r="A343" s="28"/>
      <c r="B343" s="24"/>
      <c r="C343" s="25"/>
      <c r="D343" s="31"/>
      <c r="E343" s="25"/>
      <c r="F343" s="25"/>
      <c r="G343" s="28"/>
      <c r="H343" s="25"/>
      <c r="I343" s="25"/>
      <c r="J343" s="28"/>
      <c r="K343" s="29"/>
      <c r="L343" s="29"/>
      <c r="M343" s="29"/>
      <c r="N343" s="28"/>
      <c r="O343" s="28"/>
      <c r="P343" s="28"/>
      <c r="Q343" s="27"/>
      <c r="R343" s="28"/>
      <c r="S343" s="28"/>
      <c r="T343" s="27"/>
    </row>
    <row r="344" spans="1:20" x14ac:dyDescent="0.35">
      <c r="A344" s="28"/>
      <c r="B344" s="24"/>
      <c r="C344" s="25"/>
      <c r="D344" s="31"/>
      <c r="E344" s="25"/>
      <c r="F344" s="25"/>
      <c r="G344" s="28"/>
      <c r="H344" s="25"/>
      <c r="I344" s="25"/>
      <c r="J344" s="28"/>
      <c r="K344" s="29"/>
      <c r="L344" s="29"/>
      <c r="M344" s="29"/>
      <c r="N344" s="28"/>
      <c r="O344" s="28"/>
      <c r="P344" s="28"/>
      <c r="Q344" s="27"/>
      <c r="R344" s="28"/>
      <c r="S344" s="28"/>
      <c r="T344" s="27"/>
    </row>
    <row r="345" spans="1:20" x14ac:dyDescent="0.35">
      <c r="A345" s="28"/>
      <c r="B345" s="24"/>
      <c r="C345" s="25"/>
      <c r="D345" s="31"/>
      <c r="E345" s="25"/>
      <c r="F345" s="25"/>
      <c r="G345" s="28"/>
      <c r="H345" s="25"/>
      <c r="I345" s="25"/>
      <c r="J345" s="28"/>
      <c r="K345" s="29"/>
      <c r="L345" s="29"/>
      <c r="M345" s="29"/>
      <c r="N345" s="28"/>
      <c r="O345" s="28"/>
      <c r="P345" s="28"/>
      <c r="Q345" s="27"/>
      <c r="R345" s="28"/>
      <c r="S345" s="28"/>
      <c r="T345" s="27"/>
    </row>
    <row r="346" spans="1:20" x14ac:dyDescent="0.35">
      <c r="A346" s="28"/>
      <c r="B346" s="24"/>
      <c r="C346" s="25"/>
      <c r="D346" s="31"/>
      <c r="E346" s="25"/>
      <c r="F346" s="25"/>
      <c r="G346" s="28"/>
      <c r="H346" s="25"/>
      <c r="I346" s="25"/>
      <c r="J346" s="28"/>
      <c r="K346" s="29"/>
      <c r="L346" s="29"/>
      <c r="M346" s="29"/>
      <c r="N346" s="28"/>
      <c r="O346" s="28"/>
      <c r="P346" s="28"/>
      <c r="Q346" s="27"/>
      <c r="R346" s="28"/>
      <c r="S346" s="28"/>
      <c r="T346" s="27"/>
    </row>
    <row r="347" spans="1:20" x14ac:dyDescent="0.35">
      <c r="A347" s="28"/>
      <c r="B347" s="24"/>
      <c r="C347" s="25"/>
      <c r="D347" s="31"/>
      <c r="E347" s="25"/>
      <c r="F347" s="25"/>
      <c r="G347" s="28"/>
      <c r="H347" s="25"/>
      <c r="I347" s="25"/>
      <c r="J347" s="28"/>
      <c r="K347" s="29"/>
      <c r="L347" s="29"/>
      <c r="M347" s="29"/>
      <c r="N347" s="28"/>
      <c r="O347" s="28"/>
      <c r="P347" s="28"/>
      <c r="Q347" s="27"/>
      <c r="R347" s="28"/>
      <c r="S347" s="28"/>
      <c r="T347" s="27"/>
    </row>
    <row r="348" spans="1:20" x14ac:dyDescent="0.35">
      <c r="A348" s="28"/>
      <c r="B348" s="24"/>
      <c r="C348" s="25"/>
      <c r="D348" s="31"/>
      <c r="E348" s="25"/>
      <c r="F348" s="25"/>
      <c r="G348" s="28"/>
      <c r="H348" s="25"/>
      <c r="I348" s="25"/>
      <c r="J348" s="28"/>
      <c r="K348" s="29"/>
      <c r="L348" s="29"/>
      <c r="M348" s="29"/>
      <c r="N348" s="28"/>
      <c r="O348" s="28"/>
      <c r="P348" s="28"/>
      <c r="Q348" s="27"/>
      <c r="R348" s="28"/>
      <c r="S348" s="28"/>
      <c r="T348" s="27"/>
    </row>
    <row r="349" spans="1:20" x14ac:dyDescent="0.35">
      <c r="A349" s="28"/>
      <c r="B349" s="24"/>
      <c r="C349" s="25"/>
      <c r="D349" s="31"/>
      <c r="E349" s="25"/>
      <c r="F349" s="25"/>
      <c r="G349" s="28"/>
      <c r="H349" s="25"/>
      <c r="I349" s="25"/>
      <c r="J349" s="28"/>
      <c r="K349" s="29"/>
      <c r="L349" s="29"/>
      <c r="M349" s="29"/>
      <c r="N349" s="28"/>
      <c r="O349" s="28"/>
      <c r="P349" s="28"/>
      <c r="Q349" s="27"/>
      <c r="R349" s="28"/>
      <c r="S349" s="28"/>
      <c r="T349" s="27"/>
    </row>
    <row r="350" spans="1:20" x14ac:dyDescent="0.35">
      <c r="A350" s="28"/>
      <c r="B350" s="24"/>
      <c r="C350" s="25"/>
      <c r="D350" s="31"/>
      <c r="E350" s="25"/>
      <c r="F350" s="25"/>
      <c r="G350" s="28"/>
      <c r="H350" s="25"/>
      <c r="I350" s="25"/>
      <c r="J350" s="28"/>
      <c r="K350" s="29"/>
      <c r="L350" s="29"/>
      <c r="M350" s="29"/>
      <c r="N350" s="28"/>
      <c r="O350" s="28"/>
      <c r="P350" s="28"/>
      <c r="Q350" s="27"/>
      <c r="R350" s="28"/>
      <c r="S350" s="28"/>
      <c r="T350" s="27"/>
    </row>
    <row r="351" spans="1:20" x14ac:dyDescent="0.35">
      <c r="A351" s="28"/>
      <c r="B351" s="24"/>
      <c r="C351" s="25"/>
      <c r="D351" s="31"/>
      <c r="E351" s="25"/>
      <c r="F351" s="25"/>
      <c r="G351" s="28"/>
      <c r="H351" s="25"/>
      <c r="I351" s="25"/>
      <c r="J351" s="28"/>
      <c r="K351" s="29"/>
      <c r="L351" s="29"/>
      <c r="M351" s="29"/>
      <c r="N351" s="28"/>
      <c r="O351" s="28"/>
      <c r="P351" s="28"/>
      <c r="Q351" s="27"/>
      <c r="R351" s="28"/>
      <c r="S351" s="28"/>
      <c r="T351" s="27"/>
    </row>
    <row r="352" spans="1:20" x14ac:dyDescent="0.35">
      <c r="A352" s="28"/>
      <c r="B352" s="24"/>
      <c r="C352" s="25"/>
      <c r="D352" s="31"/>
      <c r="E352" s="25"/>
      <c r="F352" s="25"/>
      <c r="G352" s="28"/>
      <c r="H352" s="25"/>
      <c r="I352" s="25"/>
      <c r="J352" s="28"/>
      <c r="K352" s="29"/>
      <c r="L352" s="29"/>
      <c r="M352" s="29"/>
      <c r="N352" s="28"/>
      <c r="O352" s="28"/>
      <c r="P352" s="28"/>
      <c r="Q352" s="27"/>
      <c r="R352" s="28"/>
      <c r="S352" s="28"/>
      <c r="T352" s="27"/>
    </row>
    <row r="353" spans="1:20" x14ac:dyDescent="0.35">
      <c r="A353" s="28"/>
      <c r="B353" s="24"/>
      <c r="C353" s="25"/>
      <c r="D353" s="31"/>
      <c r="E353" s="25"/>
      <c r="F353" s="25"/>
      <c r="G353" s="28"/>
      <c r="H353" s="25"/>
      <c r="I353" s="25"/>
      <c r="J353" s="28"/>
      <c r="K353" s="29"/>
      <c r="L353" s="29"/>
      <c r="M353" s="29"/>
      <c r="N353" s="28"/>
      <c r="O353" s="28"/>
      <c r="P353" s="28"/>
      <c r="Q353" s="27"/>
      <c r="R353" s="28"/>
      <c r="S353" s="28"/>
      <c r="T353" s="27"/>
    </row>
    <row r="354" spans="1:20" x14ac:dyDescent="0.35">
      <c r="A354" s="28"/>
      <c r="B354" s="24"/>
      <c r="C354" s="25"/>
      <c r="D354" s="31"/>
      <c r="E354" s="25"/>
      <c r="F354" s="25"/>
      <c r="G354" s="28"/>
      <c r="H354" s="25"/>
      <c r="I354" s="25"/>
      <c r="J354" s="28"/>
      <c r="K354" s="29"/>
      <c r="L354" s="29"/>
      <c r="M354" s="29"/>
      <c r="N354" s="28"/>
      <c r="O354" s="28"/>
      <c r="P354" s="28"/>
      <c r="Q354" s="27"/>
      <c r="R354" s="28"/>
      <c r="S354" s="28"/>
      <c r="T354" s="27"/>
    </row>
    <row r="355" spans="1:20" x14ac:dyDescent="0.35">
      <c r="A355" s="28"/>
      <c r="B355" s="24"/>
      <c r="C355" s="25"/>
      <c r="D355" s="31"/>
      <c r="E355" s="25"/>
      <c r="F355" s="25"/>
      <c r="G355" s="28"/>
      <c r="H355" s="25"/>
      <c r="I355" s="25"/>
      <c r="J355" s="28"/>
      <c r="K355" s="29"/>
      <c r="L355" s="29"/>
      <c r="M355" s="29"/>
      <c r="N355" s="28"/>
      <c r="O355" s="28"/>
      <c r="P355" s="28"/>
      <c r="Q355" s="27"/>
      <c r="R355" s="28"/>
      <c r="S355" s="28"/>
      <c r="T355" s="27"/>
    </row>
    <row r="356" spans="1:20" x14ac:dyDescent="0.35">
      <c r="A356" s="28"/>
      <c r="B356" s="24"/>
      <c r="C356" s="25"/>
      <c r="D356" s="31"/>
      <c r="E356" s="25"/>
      <c r="F356" s="25"/>
      <c r="G356" s="28"/>
      <c r="H356" s="25"/>
      <c r="I356" s="25"/>
      <c r="J356" s="28"/>
      <c r="K356" s="29"/>
      <c r="L356" s="29"/>
      <c r="M356" s="29"/>
      <c r="N356" s="28"/>
      <c r="O356" s="28"/>
      <c r="P356" s="28"/>
      <c r="Q356" s="27"/>
      <c r="R356" s="28"/>
      <c r="S356" s="28"/>
      <c r="T356" s="27"/>
    </row>
    <row r="357" spans="1:20" x14ac:dyDescent="0.35">
      <c r="A357" s="28"/>
      <c r="B357" s="24"/>
      <c r="C357" s="25"/>
      <c r="D357" s="31"/>
      <c r="E357" s="25"/>
      <c r="F357" s="25"/>
      <c r="G357" s="28"/>
      <c r="H357" s="25"/>
      <c r="I357" s="25"/>
      <c r="J357" s="28"/>
      <c r="K357" s="29"/>
      <c r="L357" s="29"/>
      <c r="M357" s="29"/>
      <c r="N357" s="28"/>
      <c r="O357" s="28"/>
      <c r="P357" s="28"/>
      <c r="Q357" s="27"/>
      <c r="R357" s="28"/>
      <c r="S357" s="28"/>
      <c r="T357" s="27"/>
    </row>
    <row r="358" spans="1:20" x14ac:dyDescent="0.35">
      <c r="A358" s="28"/>
      <c r="B358" s="24"/>
      <c r="C358" s="25"/>
      <c r="D358" s="31"/>
      <c r="E358" s="25"/>
      <c r="F358" s="25"/>
      <c r="G358" s="28"/>
      <c r="H358" s="25"/>
      <c r="I358" s="25"/>
      <c r="J358" s="28"/>
      <c r="K358" s="29"/>
      <c r="L358" s="29"/>
      <c r="M358" s="29"/>
      <c r="N358" s="28"/>
      <c r="O358" s="28"/>
      <c r="P358" s="28"/>
      <c r="Q358" s="27"/>
      <c r="R358" s="28"/>
      <c r="S358" s="28"/>
      <c r="T358" s="27"/>
    </row>
    <row r="359" spans="1:20" x14ac:dyDescent="0.35">
      <c r="A359" s="28"/>
      <c r="B359" s="24"/>
      <c r="C359" s="25"/>
      <c r="D359" s="31"/>
      <c r="E359" s="25"/>
      <c r="F359" s="25"/>
      <c r="G359" s="28"/>
      <c r="H359" s="25"/>
      <c r="I359" s="25"/>
      <c r="J359" s="28"/>
      <c r="K359" s="29"/>
      <c r="L359" s="29"/>
      <c r="M359" s="29"/>
      <c r="N359" s="28"/>
      <c r="O359" s="28"/>
      <c r="P359" s="28"/>
      <c r="Q359" s="27"/>
      <c r="R359" s="28"/>
      <c r="S359" s="28"/>
      <c r="T359" s="27"/>
    </row>
    <row r="360" spans="1:20" x14ac:dyDescent="0.35">
      <c r="A360" s="28"/>
      <c r="B360" s="24"/>
      <c r="C360" s="25"/>
      <c r="D360" s="31"/>
      <c r="E360" s="25"/>
      <c r="F360" s="25"/>
      <c r="G360" s="28"/>
      <c r="H360" s="25"/>
      <c r="I360" s="25"/>
      <c r="J360" s="28"/>
      <c r="K360" s="29"/>
      <c r="L360" s="29"/>
      <c r="M360" s="29"/>
      <c r="N360" s="28"/>
      <c r="O360" s="28"/>
      <c r="P360" s="28"/>
      <c r="Q360" s="27"/>
      <c r="R360" s="28"/>
      <c r="S360" s="28"/>
      <c r="T360" s="27"/>
    </row>
    <row r="361" spans="1:20" x14ac:dyDescent="0.35">
      <c r="A361" s="28"/>
      <c r="B361" s="24"/>
      <c r="C361" s="25"/>
      <c r="D361" s="31"/>
      <c r="E361" s="25"/>
      <c r="F361" s="25"/>
      <c r="G361" s="28"/>
      <c r="H361" s="25"/>
      <c r="I361" s="25"/>
      <c r="J361" s="28"/>
      <c r="K361" s="29"/>
      <c r="L361" s="29"/>
      <c r="M361" s="29"/>
      <c r="N361" s="28"/>
      <c r="O361" s="28"/>
      <c r="P361" s="28"/>
      <c r="Q361" s="27"/>
      <c r="R361" s="28"/>
      <c r="S361" s="28"/>
      <c r="T361" s="27"/>
    </row>
    <row r="362" spans="1:20" x14ac:dyDescent="0.35">
      <c r="A362" s="28"/>
      <c r="B362" s="24"/>
      <c r="C362" s="25"/>
      <c r="D362" s="31"/>
      <c r="E362" s="25"/>
      <c r="F362" s="25"/>
      <c r="G362" s="28"/>
      <c r="H362" s="25"/>
      <c r="I362" s="25"/>
      <c r="J362" s="28"/>
      <c r="K362" s="29"/>
      <c r="L362" s="29"/>
      <c r="M362" s="29"/>
      <c r="N362" s="28"/>
      <c r="O362" s="28"/>
      <c r="P362" s="28"/>
      <c r="Q362" s="27"/>
      <c r="R362" s="28"/>
      <c r="S362" s="28"/>
      <c r="T362" s="27"/>
    </row>
    <row r="363" spans="1:20" x14ac:dyDescent="0.35">
      <c r="A363" s="28"/>
      <c r="B363" s="24"/>
      <c r="C363" s="25"/>
      <c r="D363" s="31"/>
      <c r="E363" s="25"/>
      <c r="F363" s="25"/>
      <c r="G363" s="28"/>
      <c r="H363" s="25"/>
      <c r="I363" s="25"/>
      <c r="J363" s="28"/>
      <c r="K363" s="29"/>
      <c r="L363" s="29"/>
      <c r="M363" s="29"/>
      <c r="N363" s="28"/>
      <c r="O363" s="28"/>
      <c r="P363" s="28"/>
      <c r="Q363" s="27"/>
      <c r="R363" s="28"/>
      <c r="S363" s="28"/>
      <c r="T363" s="27"/>
    </row>
    <row r="364" spans="1:20" x14ac:dyDescent="0.35">
      <c r="A364" s="28"/>
      <c r="B364" s="24"/>
      <c r="C364" s="25"/>
      <c r="D364" s="31"/>
      <c r="E364" s="25"/>
      <c r="F364" s="25"/>
      <c r="G364" s="28"/>
      <c r="H364" s="25"/>
      <c r="I364" s="25"/>
      <c r="J364" s="28"/>
      <c r="K364" s="29"/>
      <c r="L364" s="29"/>
      <c r="M364" s="29"/>
      <c r="N364" s="28"/>
      <c r="O364" s="28"/>
      <c r="P364" s="28"/>
      <c r="Q364" s="27"/>
      <c r="R364" s="28"/>
      <c r="S364" s="28"/>
      <c r="T364" s="27"/>
    </row>
    <row r="365" spans="1:20" x14ac:dyDescent="0.35">
      <c r="A365" s="28"/>
      <c r="B365" s="24"/>
      <c r="C365" s="25"/>
      <c r="D365" s="31"/>
      <c r="E365" s="25"/>
      <c r="F365" s="25"/>
      <c r="G365" s="28"/>
      <c r="H365" s="25"/>
      <c r="I365" s="25"/>
      <c r="J365" s="28"/>
      <c r="K365" s="29"/>
      <c r="L365" s="29"/>
      <c r="M365" s="29"/>
      <c r="N365" s="28"/>
      <c r="O365" s="28"/>
      <c r="P365" s="28"/>
      <c r="Q365" s="27"/>
      <c r="R365" s="28"/>
      <c r="S365" s="28"/>
      <c r="T365" s="27"/>
    </row>
    <row r="366" spans="1:20" x14ac:dyDescent="0.35">
      <c r="A366" s="28"/>
      <c r="B366" s="24"/>
      <c r="C366" s="25"/>
      <c r="D366" s="31"/>
      <c r="E366" s="25"/>
      <c r="F366" s="25"/>
      <c r="G366" s="28"/>
      <c r="H366" s="25"/>
      <c r="I366" s="25"/>
      <c r="J366" s="28"/>
      <c r="K366" s="29"/>
      <c r="L366" s="29"/>
      <c r="M366" s="29"/>
      <c r="N366" s="28"/>
      <c r="O366" s="28"/>
      <c r="P366" s="28"/>
      <c r="Q366" s="27"/>
      <c r="R366" s="28"/>
      <c r="S366" s="28"/>
      <c r="T366" s="27"/>
    </row>
    <row r="367" spans="1:20" x14ac:dyDescent="0.35">
      <c r="A367" s="28"/>
      <c r="B367" s="24"/>
      <c r="C367" s="25"/>
      <c r="D367" s="31"/>
      <c r="E367" s="25"/>
      <c r="F367" s="25"/>
      <c r="G367" s="28"/>
      <c r="H367" s="25"/>
      <c r="I367" s="25"/>
      <c r="J367" s="28"/>
      <c r="K367" s="29"/>
      <c r="L367" s="29"/>
      <c r="M367" s="29"/>
      <c r="N367" s="28"/>
      <c r="O367" s="28"/>
      <c r="P367" s="28"/>
      <c r="Q367" s="27"/>
      <c r="R367" s="28"/>
      <c r="S367" s="28"/>
      <c r="T367" s="27"/>
    </row>
    <row r="368" spans="1:20" x14ac:dyDescent="0.35">
      <c r="A368" s="28"/>
      <c r="B368" s="24"/>
      <c r="C368" s="25"/>
      <c r="D368" s="31"/>
      <c r="E368" s="25"/>
      <c r="F368" s="25"/>
      <c r="G368" s="28"/>
      <c r="H368" s="25"/>
      <c r="I368" s="25"/>
      <c r="J368" s="28"/>
      <c r="K368" s="29"/>
      <c r="L368" s="29"/>
      <c r="M368" s="29"/>
      <c r="N368" s="28"/>
      <c r="O368" s="28"/>
      <c r="P368" s="28"/>
      <c r="Q368" s="27"/>
      <c r="R368" s="28"/>
      <c r="S368" s="28"/>
      <c r="T368" s="27"/>
    </row>
    <row r="369" spans="1:23" x14ac:dyDescent="0.35">
      <c r="A369" s="28"/>
      <c r="B369" s="24"/>
      <c r="C369" s="25"/>
      <c r="D369" s="31"/>
      <c r="E369" s="25"/>
      <c r="F369" s="25"/>
      <c r="G369" s="28"/>
      <c r="H369" s="25"/>
      <c r="I369" s="25"/>
      <c r="J369" s="28"/>
      <c r="K369" s="29"/>
      <c r="L369" s="29"/>
      <c r="M369" s="29"/>
      <c r="N369" s="28"/>
      <c r="O369" s="28"/>
      <c r="P369" s="28"/>
      <c r="Q369" s="27"/>
      <c r="R369" s="28"/>
      <c r="S369" s="28"/>
      <c r="T369" s="27"/>
    </row>
    <row r="370" spans="1:23" x14ac:dyDescent="0.35">
      <c r="A370" s="28"/>
      <c r="B370" s="24"/>
      <c r="C370" s="25"/>
      <c r="D370" s="30"/>
      <c r="E370" s="25"/>
      <c r="F370" s="25"/>
      <c r="G370" s="28"/>
      <c r="H370" s="25"/>
      <c r="I370" s="25"/>
      <c r="J370" s="28"/>
      <c r="K370" s="29"/>
      <c r="L370" s="29"/>
      <c r="M370" s="29"/>
      <c r="N370" s="28"/>
      <c r="O370" s="28"/>
      <c r="P370" s="28"/>
      <c r="Q370" s="27"/>
      <c r="R370" s="28"/>
      <c r="S370" s="28"/>
      <c r="T370" s="27"/>
    </row>
    <row r="371" spans="1:23" x14ac:dyDescent="0.35">
      <c r="A371" s="28"/>
      <c r="B371" s="24"/>
      <c r="C371" s="25"/>
      <c r="D371" s="30"/>
      <c r="E371" s="25"/>
      <c r="F371" s="25"/>
      <c r="G371" s="28"/>
      <c r="H371" s="25"/>
      <c r="I371" s="25"/>
      <c r="J371" s="28"/>
      <c r="K371" s="29"/>
      <c r="L371" s="29"/>
      <c r="M371" s="29"/>
      <c r="N371" s="28"/>
      <c r="O371" s="28"/>
      <c r="P371" s="28"/>
      <c r="Q371" s="27"/>
      <c r="R371" s="28"/>
      <c r="S371" s="28"/>
      <c r="T371" s="27"/>
    </row>
    <row r="372" spans="1:23" x14ac:dyDescent="0.35">
      <c r="U372" t="e">
        <v>#VALUE!</v>
      </c>
      <c r="V372" t="e">
        <v>#VALUE!</v>
      </c>
      <c r="W372" t="e">
        <v>#VALUE!</v>
      </c>
    </row>
    <row r="373" spans="1:23" x14ac:dyDescent="0.35">
      <c r="U373" t="e">
        <v>#VALUE!</v>
      </c>
      <c r="V373" t="e">
        <v>#VALUE!</v>
      </c>
      <c r="W373" t="e">
        <v>#VALUE!</v>
      </c>
    </row>
    <row r="374" spans="1:23" x14ac:dyDescent="0.35">
      <c r="U374" t="e">
        <v>#VALUE!</v>
      </c>
      <c r="V374" t="e">
        <v>#VALUE!</v>
      </c>
      <c r="W374" t="e">
        <v>#VALUE!</v>
      </c>
    </row>
    <row r="375" spans="1:23" x14ac:dyDescent="0.35">
      <c r="U375" t="e">
        <v>#VALUE!</v>
      </c>
      <c r="V375" t="e">
        <v>#VALUE!</v>
      </c>
      <c r="W375" t="e">
        <v>#VALUE!</v>
      </c>
    </row>
  </sheetData>
  <mergeCells count="3">
    <mergeCell ref="E2:S2"/>
    <mergeCell ref="A2:C2"/>
    <mergeCell ref="A1:S1"/>
  </mergeCells>
  <conditionalFormatting sqref="B192:B371">
    <cfRule type="duplicateValues" dxfId="73" priority="37"/>
    <cfRule type="duplicateValues" dxfId="72" priority="38"/>
    <cfRule type="duplicateValues" dxfId="71" priority="39"/>
  </conditionalFormatting>
  <conditionalFormatting sqref="B82:B191">
    <cfRule type="duplicateValues" dxfId="70" priority="15"/>
    <cfRule type="duplicateValues" dxfId="69" priority="16"/>
    <cfRule type="duplicateValues" dxfId="68" priority="17"/>
  </conditionalFormatting>
  <conditionalFormatting sqref="B64:B81">
    <cfRule type="duplicateValues" dxfId="67" priority="11"/>
    <cfRule type="duplicateValues" dxfId="66" priority="12"/>
    <cfRule type="duplicateValues" dxfId="65" priority="13"/>
  </conditionalFormatting>
  <conditionalFormatting sqref="B5:B63">
    <cfRule type="duplicateValues" dxfId="64" priority="14"/>
  </conditionalFormatting>
  <conditionalFormatting sqref="B4">
    <cfRule type="duplicateValues" dxfId="63" priority="5"/>
  </conditionalFormatting>
  <conditionalFormatting sqref="B4">
    <cfRule type="duplicateValues" dxfId="62" priority="4"/>
  </conditionalFormatting>
  <conditionalFormatting sqref="B4">
    <cfRule type="duplicateValues" dxfId="61" priority="3"/>
  </conditionalFormatting>
  <conditionalFormatting sqref="B4">
    <cfRule type="duplicateValues" dxfId="60" priority="2"/>
  </conditionalFormatting>
  <conditionalFormatting sqref="B4">
    <cfRule type="duplicateValues" dxfId="59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3</xdr:col>
                <xdr:colOff>342900</xdr:colOff>
                <xdr:row>0</xdr:row>
                <xdr:rowOff>38100</xdr:rowOff>
              </from>
              <to>
                <xdr:col>4</xdr:col>
                <xdr:colOff>990600</xdr:colOff>
                <xdr:row>2</xdr:row>
                <xdr:rowOff>12700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A199"/>
  <sheetViews>
    <sheetView zoomScale="85" zoomScaleNormal="85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3" max="3" width="19.54296875" customWidth="1"/>
    <col min="4" max="15" width="11.453125" customWidth="1"/>
    <col min="16" max="16" width="13.1796875" bestFit="1" customWidth="1"/>
    <col min="17" max="27" width="11.453125" customWidth="1"/>
  </cols>
  <sheetData>
    <row r="1" spans="1:27" ht="36" x14ac:dyDescent="0.35">
      <c r="A1" s="5" t="s">
        <v>31</v>
      </c>
      <c r="B1" s="3" t="s">
        <v>14</v>
      </c>
      <c r="C1" s="6" t="s">
        <v>25</v>
      </c>
      <c r="D1" s="4" t="s">
        <v>16</v>
      </c>
      <c r="E1" s="5" t="s">
        <v>18</v>
      </c>
      <c r="F1" s="4" t="s">
        <v>19</v>
      </c>
      <c r="G1" s="4" t="s">
        <v>20</v>
      </c>
      <c r="H1" s="5" t="s">
        <v>22</v>
      </c>
      <c r="I1" s="5" t="s">
        <v>32</v>
      </c>
      <c r="J1" s="5" t="s">
        <v>23</v>
      </c>
      <c r="K1" s="5" t="s">
        <v>33</v>
      </c>
      <c r="L1" s="5" t="s">
        <v>21</v>
      </c>
      <c r="M1" s="9" t="s">
        <v>34</v>
      </c>
      <c r="N1" s="4" t="s">
        <v>15</v>
      </c>
      <c r="O1" s="4" t="s">
        <v>35</v>
      </c>
      <c r="P1" s="10" t="s">
        <v>36</v>
      </c>
      <c r="Q1" s="4" t="s">
        <v>17</v>
      </c>
      <c r="R1" s="8" t="s">
        <v>37</v>
      </c>
      <c r="S1" s="8" t="s">
        <v>38</v>
      </c>
      <c r="T1" s="11" t="s">
        <v>39</v>
      </c>
      <c r="U1" s="11" t="s">
        <v>40</v>
      </c>
      <c r="V1" s="8" t="s">
        <v>41</v>
      </c>
      <c r="W1" s="8" t="s">
        <v>29</v>
      </c>
      <c r="X1" s="12" t="s">
        <v>42</v>
      </c>
      <c r="Y1" s="8" t="s">
        <v>43</v>
      </c>
      <c r="Z1" s="7" t="s">
        <v>44</v>
      </c>
      <c r="AA1" s="7" t="s">
        <v>27</v>
      </c>
    </row>
    <row r="2" spans="1:27" x14ac:dyDescent="0.35">
      <c r="A2" s="47">
        <v>5</v>
      </c>
      <c r="B2" s="48">
        <v>334541</v>
      </c>
      <c r="C2" s="39">
        <v>4107413227182500</v>
      </c>
      <c r="D2" s="49">
        <v>46219</v>
      </c>
      <c r="E2" s="49" t="s">
        <v>67</v>
      </c>
      <c r="F2" s="49">
        <v>46191</v>
      </c>
      <c r="G2" s="49">
        <v>46220</v>
      </c>
      <c r="H2" s="47">
        <v>30</v>
      </c>
      <c r="I2" s="47">
        <v>269</v>
      </c>
      <c r="J2" s="47" t="s">
        <v>68</v>
      </c>
      <c r="K2" s="47" t="s">
        <v>69</v>
      </c>
      <c r="L2" s="47" t="s">
        <v>69</v>
      </c>
      <c r="M2" s="50" t="s">
        <v>70</v>
      </c>
      <c r="N2" s="49">
        <v>45932</v>
      </c>
      <c r="O2" s="49">
        <v>46291</v>
      </c>
      <c r="P2" s="51">
        <v>1750905</v>
      </c>
      <c r="Q2" s="49">
        <v>46224</v>
      </c>
      <c r="R2" s="49" t="s">
        <v>45</v>
      </c>
      <c r="S2" s="47" t="s">
        <v>46</v>
      </c>
      <c r="T2" s="49"/>
      <c r="U2" s="47"/>
      <c r="V2" s="47"/>
      <c r="W2" s="44"/>
      <c r="X2" s="47"/>
      <c r="Y2" s="47"/>
      <c r="Z2" s="47"/>
      <c r="AA2" s="47"/>
    </row>
    <row r="3" spans="1:27" x14ac:dyDescent="0.35">
      <c r="A3" s="47">
        <v>182</v>
      </c>
      <c r="B3" s="47">
        <v>4661182</v>
      </c>
      <c r="C3" s="39">
        <v>103862022114100</v>
      </c>
      <c r="D3" s="49">
        <v>46218</v>
      </c>
      <c r="E3" s="49" t="s">
        <v>67</v>
      </c>
      <c r="F3" s="49">
        <v>46214</v>
      </c>
      <c r="G3" s="49">
        <v>46228</v>
      </c>
      <c r="H3" s="47">
        <v>15</v>
      </c>
      <c r="I3" s="47">
        <v>158</v>
      </c>
      <c r="J3" s="47" t="s">
        <v>71</v>
      </c>
      <c r="K3" s="47">
        <v>1750905</v>
      </c>
      <c r="L3" s="47">
        <v>1750905</v>
      </c>
      <c r="M3" s="50">
        <v>30</v>
      </c>
      <c r="N3" s="49">
        <v>46071</v>
      </c>
      <c r="O3" s="49">
        <v>46430</v>
      </c>
      <c r="P3" s="51">
        <v>875453</v>
      </c>
      <c r="Q3" s="49">
        <v>46224</v>
      </c>
      <c r="R3" s="49" t="s">
        <v>45</v>
      </c>
      <c r="S3" s="47" t="s">
        <v>46</v>
      </c>
      <c r="T3" s="49"/>
      <c r="U3" s="47"/>
      <c r="V3" s="47"/>
      <c r="W3" s="44"/>
      <c r="X3" s="47"/>
      <c r="Y3" s="47"/>
      <c r="Z3" s="47"/>
      <c r="AA3" s="47"/>
    </row>
    <row r="4" spans="1:27" x14ac:dyDescent="0.35">
      <c r="A4" s="47">
        <v>151</v>
      </c>
      <c r="B4" s="47">
        <v>5046739</v>
      </c>
      <c r="C4" s="39">
        <v>4107413227038700</v>
      </c>
      <c r="D4" s="49">
        <v>46218</v>
      </c>
      <c r="E4" s="49" t="s">
        <v>67</v>
      </c>
      <c r="F4" s="49">
        <v>46151</v>
      </c>
      <c r="G4" s="49">
        <v>46172</v>
      </c>
      <c r="H4" s="47">
        <v>22</v>
      </c>
      <c r="I4" s="47">
        <v>226</v>
      </c>
      <c r="J4" s="47" t="s">
        <v>72</v>
      </c>
      <c r="K4" s="47">
        <v>1750905</v>
      </c>
      <c r="L4" s="47">
        <v>1750905</v>
      </c>
      <c r="M4" s="50">
        <v>30</v>
      </c>
      <c r="N4" s="49">
        <v>45813</v>
      </c>
      <c r="O4" s="49">
        <v>46172</v>
      </c>
      <c r="P4" s="51">
        <v>1283997</v>
      </c>
      <c r="Q4" s="49">
        <v>46224</v>
      </c>
      <c r="R4" s="49" t="s">
        <v>45</v>
      </c>
      <c r="S4" s="47" t="s">
        <v>46</v>
      </c>
      <c r="T4" s="49"/>
      <c r="U4" s="47"/>
      <c r="V4" s="47"/>
      <c r="W4" s="44"/>
      <c r="X4" s="47"/>
      <c r="Y4" s="47"/>
      <c r="Z4" s="47"/>
      <c r="AA4" s="47"/>
    </row>
    <row r="5" spans="1:27" x14ac:dyDescent="0.35">
      <c r="A5" s="47">
        <v>178</v>
      </c>
      <c r="B5" s="47">
        <v>6646567</v>
      </c>
      <c r="C5" s="39">
        <v>103862022102500</v>
      </c>
      <c r="D5" s="49">
        <v>46218</v>
      </c>
      <c r="E5" s="49" t="s">
        <v>67</v>
      </c>
      <c r="F5" s="49">
        <v>46178</v>
      </c>
      <c r="G5" s="49">
        <v>46187</v>
      </c>
      <c r="H5" s="47">
        <v>10</v>
      </c>
      <c r="I5" s="47">
        <v>74</v>
      </c>
      <c r="J5" s="47" t="s">
        <v>73</v>
      </c>
      <c r="K5" s="47">
        <v>1750905</v>
      </c>
      <c r="L5" s="47">
        <v>1750905</v>
      </c>
      <c r="M5" s="50">
        <v>30</v>
      </c>
      <c r="N5" s="49">
        <v>46114</v>
      </c>
      <c r="O5" s="49">
        <v>46473</v>
      </c>
      <c r="P5" s="51">
        <v>583635</v>
      </c>
      <c r="Q5" s="49">
        <v>46224</v>
      </c>
      <c r="R5" s="49" t="s">
        <v>45</v>
      </c>
      <c r="S5" s="47" t="s">
        <v>46</v>
      </c>
      <c r="T5" s="49"/>
      <c r="U5" s="47"/>
      <c r="V5" s="47"/>
      <c r="W5" s="44"/>
      <c r="X5" s="47"/>
      <c r="Y5" s="47"/>
      <c r="Z5" s="47"/>
      <c r="AA5" s="47"/>
    </row>
    <row r="6" spans="1:27" x14ac:dyDescent="0.35">
      <c r="A6" s="47">
        <v>179</v>
      </c>
      <c r="B6" s="47">
        <v>6646567</v>
      </c>
      <c r="C6" s="39">
        <v>103862022102500</v>
      </c>
      <c r="D6" s="49">
        <v>46218</v>
      </c>
      <c r="E6" s="49" t="s">
        <v>67</v>
      </c>
      <c r="F6" s="49">
        <v>46189</v>
      </c>
      <c r="G6" s="49">
        <v>46202</v>
      </c>
      <c r="H6" s="47">
        <v>14</v>
      </c>
      <c r="I6" s="47">
        <v>88</v>
      </c>
      <c r="J6" s="47" t="s">
        <v>73</v>
      </c>
      <c r="K6" s="47">
        <v>1750905</v>
      </c>
      <c r="L6" s="47">
        <v>1750905</v>
      </c>
      <c r="M6" s="50">
        <v>30</v>
      </c>
      <c r="N6" s="49">
        <v>46114</v>
      </c>
      <c r="O6" s="49">
        <v>46473</v>
      </c>
      <c r="P6" s="51">
        <v>817089</v>
      </c>
      <c r="Q6" s="49">
        <v>46224</v>
      </c>
      <c r="R6" s="49" t="s">
        <v>45</v>
      </c>
      <c r="S6" s="47" t="s">
        <v>46</v>
      </c>
      <c r="T6" s="49"/>
      <c r="U6" s="47"/>
      <c r="V6" s="47"/>
      <c r="W6" s="44"/>
      <c r="X6" s="47"/>
      <c r="Y6" s="47"/>
      <c r="Z6" s="47"/>
      <c r="AA6" s="47"/>
    </row>
    <row r="7" spans="1:27" x14ac:dyDescent="0.35">
      <c r="A7" s="47">
        <v>31</v>
      </c>
      <c r="B7" s="47">
        <v>7125691</v>
      </c>
      <c r="C7" s="39">
        <v>190116033887600</v>
      </c>
      <c r="D7" s="49">
        <v>46219</v>
      </c>
      <c r="E7" s="49" t="s">
        <v>67</v>
      </c>
      <c r="F7" s="49">
        <v>46171</v>
      </c>
      <c r="G7" s="49">
        <v>46215</v>
      </c>
      <c r="H7" s="47">
        <v>45</v>
      </c>
      <c r="I7" s="47">
        <v>341</v>
      </c>
      <c r="J7" s="47" t="s">
        <v>74</v>
      </c>
      <c r="K7" s="47" t="s">
        <v>75</v>
      </c>
      <c r="L7" s="47" t="s">
        <v>75</v>
      </c>
      <c r="M7" s="50" t="s">
        <v>76</v>
      </c>
      <c r="N7" s="49">
        <v>45868</v>
      </c>
      <c r="O7" s="49">
        <v>46227</v>
      </c>
      <c r="P7" s="51">
        <v>2626358</v>
      </c>
      <c r="Q7" s="49">
        <v>46224</v>
      </c>
      <c r="R7" s="49" t="s">
        <v>45</v>
      </c>
      <c r="S7" s="47" t="s">
        <v>46</v>
      </c>
      <c r="T7" s="49"/>
      <c r="U7" s="47"/>
      <c r="V7" s="47"/>
      <c r="W7" s="44"/>
      <c r="X7" s="47"/>
      <c r="Y7" s="47"/>
      <c r="Z7" s="47"/>
      <c r="AA7" s="47"/>
    </row>
    <row r="8" spans="1:27" x14ac:dyDescent="0.35">
      <c r="A8" s="47">
        <v>32</v>
      </c>
      <c r="B8" s="47">
        <v>7125691</v>
      </c>
      <c r="C8" s="39">
        <v>190116033887600</v>
      </c>
      <c r="D8" s="49">
        <v>46219</v>
      </c>
      <c r="E8" s="49" t="s">
        <v>67</v>
      </c>
      <c r="F8" s="49">
        <v>46217</v>
      </c>
      <c r="G8" s="49">
        <v>46227</v>
      </c>
      <c r="H8" s="47">
        <v>11</v>
      </c>
      <c r="I8" s="47">
        <v>352</v>
      </c>
      <c r="J8" s="47" t="s">
        <v>74</v>
      </c>
      <c r="K8" s="47">
        <v>1750905</v>
      </c>
      <c r="L8" s="47">
        <v>1750905</v>
      </c>
      <c r="M8" s="50">
        <v>30</v>
      </c>
      <c r="N8" s="49">
        <v>45868</v>
      </c>
      <c r="O8" s="49">
        <v>46227</v>
      </c>
      <c r="P8" s="51">
        <v>641999</v>
      </c>
      <c r="Q8" s="49">
        <v>46224</v>
      </c>
      <c r="R8" s="49" t="s">
        <v>45</v>
      </c>
      <c r="S8" s="47" t="s">
        <v>46</v>
      </c>
      <c r="T8" s="49"/>
      <c r="U8" s="47"/>
      <c r="V8" s="47"/>
      <c r="W8" s="44"/>
      <c r="X8" s="47"/>
      <c r="Y8" s="47"/>
      <c r="Z8" s="47"/>
      <c r="AA8" s="47"/>
    </row>
    <row r="9" spans="1:27" x14ac:dyDescent="0.35">
      <c r="A9" s="47">
        <v>69</v>
      </c>
      <c r="B9" s="47">
        <v>7362518</v>
      </c>
      <c r="C9" s="39">
        <v>106521021875200</v>
      </c>
      <c r="D9" s="49">
        <v>46219</v>
      </c>
      <c r="E9" s="49" t="s">
        <v>67</v>
      </c>
      <c r="F9" s="49">
        <v>46193</v>
      </c>
      <c r="G9" s="49">
        <v>46220</v>
      </c>
      <c r="H9" s="47">
        <v>28</v>
      </c>
      <c r="I9" s="47">
        <v>198</v>
      </c>
      <c r="J9" s="47" t="s">
        <v>77</v>
      </c>
      <c r="K9" s="47" t="s">
        <v>78</v>
      </c>
      <c r="L9" s="47" t="s">
        <v>78</v>
      </c>
      <c r="M9" s="50" t="s">
        <v>70</v>
      </c>
      <c r="N9" s="49">
        <v>46023</v>
      </c>
      <c r="O9" s="49">
        <v>46382</v>
      </c>
      <c r="P9" s="51">
        <v>1634178</v>
      </c>
      <c r="Q9" s="49">
        <v>46224</v>
      </c>
      <c r="R9" s="49" t="s">
        <v>45</v>
      </c>
      <c r="S9" s="47" t="s">
        <v>46</v>
      </c>
      <c r="T9" s="49"/>
      <c r="U9" s="47"/>
      <c r="V9" s="47"/>
      <c r="W9" s="44"/>
      <c r="X9" s="47"/>
      <c r="Y9" s="47"/>
      <c r="Z9" s="47"/>
      <c r="AA9" s="47"/>
    </row>
    <row r="10" spans="1:27" x14ac:dyDescent="0.35">
      <c r="A10" s="47">
        <v>17</v>
      </c>
      <c r="B10" s="47">
        <v>9695949</v>
      </c>
      <c r="C10" s="39">
        <v>105672028236900</v>
      </c>
      <c r="D10" s="49">
        <v>46219</v>
      </c>
      <c r="E10" s="49" t="s">
        <v>67</v>
      </c>
      <c r="F10" s="49">
        <v>46202</v>
      </c>
      <c r="G10" s="49">
        <v>46231</v>
      </c>
      <c r="H10" s="47">
        <v>30</v>
      </c>
      <c r="I10" s="47">
        <v>42</v>
      </c>
      <c r="J10" s="47" t="s">
        <v>79</v>
      </c>
      <c r="K10" s="47" t="s">
        <v>78</v>
      </c>
      <c r="L10" s="47" t="s">
        <v>78</v>
      </c>
      <c r="M10" s="50" t="s">
        <v>70</v>
      </c>
      <c r="N10" s="49">
        <v>46180</v>
      </c>
      <c r="O10" s="49">
        <v>46539</v>
      </c>
      <c r="P10" s="51">
        <v>1750905</v>
      </c>
      <c r="Q10" s="49">
        <v>46224</v>
      </c>
      <c r="R10" s="49" t="s">
        <v>45</v>
      </c>
      <c r="S10" s="47" t="s">
        <v>46</v>
      </c>
      <c r="T10" s="49"/>
      <c r="U10" s="47"/>
      <c r="V10" s="47"/>
      <c r="W10" s="44"/>
      <c r="X10" s="47"/>
      <c r="Y10" s="47"/>
      <c r="Z10" s="47"/>
      <c r="AA10" s="47"/>
    </row>
    <row r="11" spans="1:27" x14ac:dyDescent="0.35">
      <c r="A11" s="47">
        <v>37</v>
      </c>
      <c r="B11" s="47">
        <v>11220276</v>
      </c>
      <c r="C11" s="39">
        <v>103872016666700</v>
      </c>
      <c r="D11" s="49">
        <v>46219</v>
      </c>
      <c r="E11" s="49" t="s">
        <v>67</v>
      </c>
      <c r="F11" s="49">
        <v>46195</v>
      </c>
      <c r="G11" s="49">
        <v>46222</v>
      </c>
      <c r="H11" s="47">
        <v>28</v>
      </c>
      <c r="I11" s="47">
        <v>158</v>
      </c>
      <c r="J11" s="47" t="s">
        <v>80</v>
      </c>
      <c r="K11" s="47" t="s">
        <v>78</v>
      </c>
      <c r="L11" s="47" t="s">
        <v>78</v>
      </c>
      <c r="M11" s="50" t="s">
        <v>70</v>
      </c>
      <c r="N11" s="49">
        <v>46065</v>
      </c>
      <c r="O11" s="49">
        <v>46424</v>
      </c>
      <c r="P11" s="51">
        <v>1634178</v>
      </c>
      <c r="Q11" s="49">
        <v>46224</v>
      </c>
      <c r="R11" s="49" t="s">
        <v>45</v>
      </c>
      <c r="S11" s="47" t="s">
        <v>46</v>
      </c>
      <c r="T11" s="49"/>
      <c r="U11" s="47"/>
      <c r="V11" s="47"/>
      <c r="W11" s="44"/>
      <c r="X11" s="47"/>
      <c r="Y11" s="47"/>
      <c r="Z11" s="47"/>
      <c r="AA11" s="47"/>
    </row>
    <row r="12" spans="1:27" x14ac:dyDescent="0.35">
      <c r="A12" s="47">
        <v>28</v>
      </c>
      <c r="B12" s="47">
        <v>12120689</v>
      </c>
      <c r="C12" s="39">
        <v>105440017514700</v>
      </c>
      <c r="D12" s="49">
        <v>46219</v>
      </c>
      <c r="E12" s="49" t="s">
        <v>67</v>
      </c>
      <c r="F12" s="49">
        <v>46205</v>
      </c>
      <c r="G12" s="49">
        <v>46233</v>
      </c>
      <c r="H12" s="47">
        <v>29</v>
      </c>
      <c r="I12" s="47">
        <v>75</v>
      </c>
      <c r="J12" s="47" t="s">
        <v>81</v>
      </c>
      <c r="K12" s="47">
        <v>1750909</v>
      </c>
      <c r="L12" s="47">
        <v>1750909</v>
      </c>
      <c r="M12" s="50">
        <v>30</v>
      </c>
      <c r="N12" s="49">
        <v>46159</v>
      </c>
      <c r="O12" s="49">
        <v>46518</v>
      </c>
      <c r="P12" s="51">
        <v>1692542</v>
      </c>
      <c r="Q12" s="49">
        <v>46224</v>
      </c>
      <c r="R12" s="49" t="s">
        <v>45</v>
      </c>
      <c r="S12" s="47" t="s">
        <v>46</v>
      </c>
      <c r="T12" s="49"/>
      <c r="U12" s="47"/>
      <c r="V12" s="47"/>
      <c r="W12" s="44"/>
      <c r="X12" s="47"/>
      <c r="Y12" s="47"/>
      <c r="Z12" s="47"/>
      <c r="AA12" s="47"/>
    </row>
    <row r="13" spans="1:27" x14ac:dyDescent="0.35">
      <c r="A13" s="47">
        <v>189</v>
      </c>
      <c r="B13" s="47">
        <v>12644241</v>
      </c>
      <c r="C13" s="39">
        <v>104786016757700</v>
      </c>
      <c r="D13" s="49">
        <v>46217</v>
      </c>
      <c r="E13" s="49" t="s">
        <v>67</v>
      </c>
      <c r="F13" s="49">
        <v>46160</v>
      </c>
      <c r="G13" s="49">
        <v>46189</v>
      </c>
      <c r="H13" s="47">
        <v>30</v>
      </c>
      <c r="I13" s="47">
        <v>177</v>
      </c>
      <c r="J13" s="47" t="s">
        <v>82</v>
      </c>
      <c r="K13" s="47" t="s">
        <v>78</v>
      </c>
      <c r="L13" s="47" t="s">
        <v>78</v>
      </c>
      <c r="M13" s="50" t="s">
        <v>70</v>
      </c>
      <c r="N13" s="49">
        <v>46013</v>
      </c>
      <c r="O13" s="49">
        <v>46372</v>
      </c>
      <c r="P13" s="51">
        <v>1750905</v>
      </c>
      <c r="Q13" s="49">
        <v>46224</v>
      </c>
      <c r="R13" s="49" t="s">
        <v>45</v>
      </c>
      <c r="S13" s="47" t="s">
        <v>46</v>
      </c>
      <c r="T13" s="49"/>
      <c r="U13" s="47"/>
      <c r="V13" s="47"/>
      <c r="W13" s="44"/>
      <c r="X13" s="47"/>
      <c r="Y13" s="47"/>
      <c r="Z13" s="47"/>
      <c r="AA13" s="47"/>
    </row>
    <row r="14" spans="1:27" x14ac:dyDescent="0.35">
      <c r="A14" s="47">
        <v>90</v>
      </c>
      <c r="B14" s="47">
        <v>13106653</v>
      </c>
      <c r="C14" s="39">
        <v>103802053250700</v>
      </c>
      <c r="D14" s="49">
        <v>46219</v>
      </c>
      <c r="E14" s="49" t="s">
        <v>67</v>
      </c>
      <c r="F14" s="49">
        <v>46178</v>
      </c>
      <c r="G14" s="49">
        <v>46237</v>
      </c>
      <c r="H14" s="47">
        <v>60</v>
      </c>
      <c r="I14" s="47">
        <v>90</v>
      </c>
      <c r="J14" s="47" t="s">
        <v>83</v>
      </c>
      <c r="K14" s="47" t="s">
        <v>75</v>
      </c>
      <c r="L14" s="47" t="s">
        <v>75</v>
      </c>
      <c r="M14" s="50" t="s">
        <v>76</v>
      </c>
      <c r="N14" s="49">
        <v>46148</v>
      </c>
      <c r="O14" s="49">
        <v>46507</v>
      </c>
      <c r="P14" s="51">
        <v>3501810</v>
      </c>
      <c r="Q14" s="49">
        <v>46224</v>
      </c>
      <c r="R14" s="49" t="s">
        <v>45</v>
      </c>
      <c r="S14" s="47" t="s">
        <v>46</v>
      </c>
      <c r="T14" s="49"/>
      <c r="U14" s="47"/>
      <c r="V14" s="47"/>
      <c r="W14" s="44"/>
      <c r="X14" s="47"/>
      <c r="Y14" s="47"/>
      <c r="Z14" s="47"/>
      <c r="AA14" s="47"/>
    </row>
    <row r="15" spans="1:27" x14ac:dyDescent="0.35">
      <c r="A15" s="47">
        <v>177</v>
      </c>
      <c r="B15" s="47">
        <v>14698229</v>
      </c>
      <c r="C15" s="39">
        <v>103803037055900</v>
      </c>
      <c r="D15" s="49">
        <v>46218</v>
      </c>
      <c r="E15" s="52" t="s">
        <v>24</v>
      </c>
      <c r="F15" s="52">
        <v>46198</v>
      </c>
      <c r="G15" s="52">
        <v>46209</v>
      </c>
      <c r="H15" s="47">
        <v>12</v>
      </c>
      <c r="I15" s="47">
        <v>12</v>
      </c>
      <c r="J15" s="47" t="s">
        <v>84</v>
      </c>
      <c r="K15" s="47" t="s">
        <v>78</v>
      </c>
      <c r="L15" s="47" t="s">
        <v>78</v>
      </c>
      <c r="M15" s="50" t="s">
        <v>70</v>
      </c>
      <c r="N15" s="49">
        <v>46198</v>
      </c>
      <c r="O15" s="49">
        <v>46557</v>
      </c>
      <c r="P15" s="51">
        <v>700362</v>
      </c>
      <c r="Q15" s="49">
        <v>46224</v>
      </c>
      <c r="R15" s="49" t="s">
        <v>45</v>
      </c>
      <c r="S15" s="47" t="s">
        <v>46</v>
      </c>
      <c r="T15" s="49"/>
      <c r="U15" s="47"/>
      <c r="V15" s="47"/>
      <c r="W15" s="44"/>
      <c r="X15" s="47"/>
      <c r="Y15" s="47"/>
      <c r="Z15" s="47"/>
      <c r="AA15" s="47"/>
    </row>
    <row r="16" spans="1:27" x14ac:dyDescent="0.35">
      <c r="A16" s="47">
        <v>95</v>
      </c>
      <c r="B16" s="47">
        <v>15930547</v>
      </c>
      <c r="C16" s="39">
        <v>105670020330700</v>
      </c>
      <c r="D16" s="49">
        <v>46219</v>
      </c>
      <c r="E16" s="49" t="s">
        <v>67</v>
      </c>
      <c r="F16" s="49">
        <v>46204</v>
      </c>
      <c r="G16" s="49">
        <v>46218</v>
      </c>
      <c r="H16" s="47">
        <v>15</v>
      </c>
      <c r="I16" s="47">
        <v>300</v>
      </c>
      <c r="J16" s="47" t="s">
        <v>85</v>
      </c>
      <c r="K16" s="47">
        <v>1750905</v>
      </c>
      <c r="L16" s="47">
        <v>1750905</v>
      </c>
      <c r="M16" s="50">
        <v>30</v>
      </c>
      <c r="N16" s="49">
        <v>45901</v>
      </c>
      <c r="O16" s="49">
        <v>46260</v>
      </c>
      <c r="P16" s="51">
        <v>875453</v>
      </c>
      <c r="Q16" s="49">
        <v>46224</v>
      </c>
      <c r="R16" s="49" t="s">
        <v>45</v>
      </c>
      <c r="S16" s="47" t="s">
        <v>46</v>
      </c>
      <c r="T16" s="49"/>
      <c r="U16" s="47"/>
      <c r="V16" s="47"/>
      <c r="W16" s="44"/>
      <c r="X16" s="47"/>
      <c r="Y16" s="47"/>
      <c r="Z16" s="47"/>
      <c r="AA16" s="47"/>
    </row>
    <row r="17" spans="1:27" x14ac:dyDescent="0.35">
      <c r="A17" s="47">
        <v>93</v>
      </c>
      <c r="B17" s="47">
        <v>16055231</v>
      </c>
      <c r="C17" s="39">
        <v>105670020327800</v>
      </c>
      <c r="D17" s="49">
        <v>46219</v>
      </c>
      <c r="E17" s="49" t="s">
        <v>67</v>
      </c>
      <c r="F17" s="49">
        <v>46199</v>
      </c>
      <c r="G17" s="49">
        <v>46213</v>
      </c>
      <c r="H17" s="47">
        <v>15</v>
      </c>
      <c r="I17" s="47">
        <v>205</v>
      </c>
      <c r="J17" s="47" t="s">
        <v>86</v>
      </c>
      <c r="K17" s="47" t="s">
        <v>78</v>
      </c>
      <c r="L17" s="47" t="s">
        <v>78</v>
      </c>
      <c r="M17" s="50" t="s">
        <v>70</v>
      </c>
      <c r="N17" s="49">
        <v>46009</v>
      </c>
      <c r="O17" s="49">
        <v>46368</v>
      </c>
      <c r="P17" s="51">
        <v>875453</v>
      </c>
      <c r="Q17" s="49">
        <v>46224</v>
      </c>
      <c r="R17" s="49" t="s">
        <v>45</v>
      </c>
      <c r="S17" s="47" t="s">
        <v>46</v>
      </c>
      <c r="T17" s="49"/>
      <c r="U17" s="47"/>
      <c r="V17" s="47"/>
      <c r="W17" s="44"/>
      <c r="X17" s="47"/>
      <c r="Y17" s="47"/>
      <c r="Z17" s="47"/>
      <c r="AA17" s="47"/>
    </row>
    <row r="18" spans="1:27" x14ac:dyDescent="0.35">
      <c r="A18" s="47">
        <v>73</v>
      </c>
      <c r="B18" s="47">
        <v>16377742</v>
      </c>
      <c r="C18" s="39">
        <v>103802053250600</v>
      </c>
      <c r="D18" s="49">
        <v>46219</v>
      </c>
      <c r="E18" s="49" t="s">
        <v>67</v>
      </c>
      <c r="F18" s="49">
        <v>46199</v>
      </c>
      <c r="G18" s="49">
        <v>46228</v>
      </c>
      <c r="H18" s="47">
        <v>30</v>
      </c>
      <c r="I18" s="47">
        <v>154</v>
      </c>
      <c r="J18" s="47" t="s">
        <v>87</v>
      </c>
      <c r="K18" s="47" t="s">
        <v>78</v>
      </c>
      <c r="L18" s="47" t="s">
        <v>78</v>
      </c>
      <c r="M18" s="50" t="s">
        <v>70</v>
      </c>
      <c r="N18" s="49">
        <v>46075</v>
      </c>
      <c r="O18" s="49">
        <v>46434</v>
      </c>
      <c r="P18" s="51">
        <v>1750905</v>
      </c>
      <c r="Q18" s="49">
        <v>46224</v>
      </c>
      <c r="R18" s="49" t="s">
        <v>45</v>
      </c>
      <c r="S18" s="47" t="s">
        <v>46</v>
      </c>
      <c r="T18" s="49"/>
      <c r="U18" s="47"/>
      <c r="V18" s="47"/>
      <c r="W18" s="44"/>
      <c r="X18" s="47"/>
      <c r="Y18" s="47"/>
      <c r="Z18" s="47"/>
      <c r="AA18" s="47"/>
    </row>
    <row r="19" spans="1:27" x14ac:dyDescent="0.35">
      <c r="A19" s="47">
        <v>68</v>
      </c>
      <c r="B19" s="47">
        <v>16554036</v>
      </c>
      <c r="C19" s="39">
        <v>103872016725600</v>
      </c>
      <c r="D19" s="49">
        <v>46219</v>
      </c>
      <c r="E19" s="49" t="s">
        <v>67</v>
      </c>
      <c r="F19" s="49">
        <v>46215</v>
      </c>
      <c r="G19" s="49">
        <v>46225</v>
      </c>
      <c r="H19" s="47">
        <v>11</v>
      </c>
      <c r="I19" s="47">
        <v>50</v>
      </c>
      <c r="J19" s="47" t="s">
        <v>88</v>
      </c>
      <c r="K19" s="47">
        <v>1809268</v>
      </c>
      <c r="L19" s="47">
        <v>1809268</v>
      </c>
      <c r="M19" s="50">
        <v>30</v>
      </c>
      <c r="N19" s="49">
        <v>46176</v>
      </c>
      <c r="O19" s="49">
        <v>46535</v>
      </c>
      <c r="P19" s="51">
        <v>641999</v>
      </c>
      <c r="Q19" s="49">
        <v>46224</v>
      </c>
      <c r="R19" s="49" t="s">
        <v>45</v>
      </c>
      <c r="S19" s="47" t="s">
        <v>46</v>
      </c>
      <c r="T19" s="49"/>
      <c r="U19" s="47"/>
      <c r="V19" s="47"/>
      <c r="W19" s="44"/>
      <c r="X19" s="47"/>
      <c r="Y19" s="47"/>
      <c r="Z19" s="47"/>
      <c r="AA19" s="47"/>
    </row>
    <row r="20" spans="1:27" x14ac:dyDescent="0.35">
      <c r="A20" s="47">
        <v>6</v>
      </c>
      <c r="B20" s="47">
        <v>16743444</v>
      </c>
      <c r="C20" s="39">
        <v>103802053251300</v>
      </c>
      <c r="D20" s="49">
        <v>46219</v>
      </c>
      <c r="E20" s="49" t="s">
        <v>67</v>
      </c>
      <c r="F20" s="49">
        <v>46170</v>
      </c>
      <c r="G20" s="49">
        <v>46199</v>
      </c>
      <c r="H20" s="47">
        <v>30</v>
      </c>
      <c r="I20" s="47">
        <v>323</v>
      </c>
      <c r="J20" s="47" t="s">
        <v>89</v>
      </c>
      <c r="K20" s="47" t="s">
        <v>90</v>
      </c>
      <c r="L20" s="47" t="s">
        <v>90</v>
      </c>
      <c r="M20" s="50" t="s">
        <v>70</v>
      </c>
      <c r="N20" s="49">
        <v>45877</v>
      </c>
      <c r="O20" s="49">
        <v>46236</v>
      </c>
      <c r="P20" s="51">
        <v>1875453</v>
      </c>
      <c r="Q20" s="49">
        <v>46224</v>
      </c>
      <c r="R20" s="49" t="s">
        <v>45</v>
      </c>
      <c r="S20" s="47" t="s">
        <v>46</v>
      </c>
      <c r="T20" s="49"/>
      <c r="U20" s="47"/>
      <c r="V20" s="47"/>
      <c r="W20" s="44"/>
      <c r="X20" s="47"/>
      <c r="Y20" s="47"/>
      <c r="Z20" s="47"/>
      <c r="AA20" s="47"/>
    </row>
    <row r="21" spans="1:27" x14ac:dyDescent="0.35">
      <c r="A21" s="47">
        <v>187</v>
      </c>
      <c r="B21" s="47">
        <v>17658730</v>
      </c>
      <c r="C21" s="39">
        <v>105705005757200</v>
      </c>
      <c r="D21" s="49">
        <v>46213</v>
      </c>
      <c r="E21" s="49" t="s">
        <v>67</v>
      </c>
      <c r="F21" s="49">
        <v>46197</v>
      </c>
      <c r="G21" s="49">
        <v>46206</v>
      </c>
      <c r="H21" s="47">
        <v>10</v>
      </c>
      <c r="I21" s="47">
        <v>161</v>
      </c>
      <c r="J21" s="47" t="s">
        <v>223</v>
      </c>
      <c r="K21" s="47" t="s">
        <v>78</v>
      </c>
      <c r="L21" s="47" t="s">
        <v>78</v>
      </c>
      <c r="M21" s="50" t="s">
        <v>70</v>
      </c>
      <c r="N21" s="49">
        <v>46046</v>
      </c>
      <c r="O21" s="49">
        <v>46405</v>
      </c>
      <c r="P21" s="51">
        <v>583635</v>
      </c>
      <c r="Q21" s="49">
        <v>46224</v>
      </c>
      <c r="R21" s="49" t="s">
        <v>45</v>
      </c>
      <c r="S21" s="47" t="s">
        <v>46</v>
      </c>
      <c r="T21" s="49"/>
      <c r="U21" s="47"/>
      <c r="V21" s="47"/>
      <c r="W21" s="44"/>
      <c r="X21" s="47"/>
      <c r="Y21" s="47"/>
      <c r="Z21" s="47"/>
      <c r="AA21" s="47"/>
    </row>
    <row r="22" spans="1:27" x14ac:dyDescent="0.35">
      <c r="A22" s="47">
        <v>106</v>
      </c>
      <c r="B22" s="47">
        <v>18594086</v>
      </c>
      <c r="C22" s="39">
        <v>105672028228300</v>
      </c>
      <c r="D22" s="49">
        <v>46219</v>
      </c>
      <c r="E22" s="49" t="s">
        <v>67</v>
      </c>
      <c r="F22" s="49">
        <v>46158</v>
      </c>
      <c r="G22" s="49">
        <v>46217</v>
      </c>
      <c r="H22" s="47">
        <v>60</v>
      </c>
      <c r="I22" s="47">
        <v>360</v>
      </c>
      <c r="J22" s="47" t="s">
        <v>91</v>
      </c>
      <c r="K22" s="47" t="s">
        <v>92</v>
      </c>
      <c r="L22" s="47" t="s">
        <v>92</v>
      </c>
      <c r="M22" s="50" t="s">
        <v>76</v>
      </c>
      <c r="N22" s="49">
        <v>45858</v>
      </c>
      <c r="O22" s="49">
        <v>46217</v>
      </c>
      <c r="P22" s="51">
        <v>4600000</v>
      </c>
      <c r="Q22" s="49">
        <v>46224</v>
      </c>
      <c r="R22" s="49" t="s">
        <v>45</v>
      </c>
      <c r="S22" s="47" t="s">
        <v>46</v>
      </c>
      <c r="T22" s="49"/>
      <c r="U22" s="47"/>
      <c r="V22" s="47"/>
      <c r="W22" s="44"/>
      <c r="X22" s="47"/>
      <c r="Y22" s="47"/>
      <c r="Z22" s="47"/>
      <c r="AA22" s="47"/>
    </row>
    <row r="23" spans="1:27" x14ac:dyDescent="0.35">
      <c r="A23" s="47">
        <v>96</v>
      </c>
      <c r="B23" s="47">
        <v>20723788</v>
      </c>
      <c r="C23" s="39">
        <v>4107413227185300</v>
      </c>
      <c r="D23" s="49">
        <v>46219</v>
      </c>
      <c r="E23" s="49" t="s">
        <v>67</v>
      </c>
      <c r="F23" s="49">
        <v>46071</v>
      </c>
      <c r="G23" s="49">
        <v>46100</v>
      </c>
      <c r="H23" s="47">
        <v>30</v>
      </c>
      <c r="I23" s="47">
        <v>144</v>
      </c>
      <c r="J23" s="47" t="s">
        <v>224</v>
      </c>
      <c r="K23" s="47" t="s">
        <v>93</v>
      </c>
      <c r="L23" s="47" t="s">
        <v>93</v>
      </c>
      <c r="M23" s="50" t="s">
        <v>70</v>
      </c>
      <c r="N23" s="49">
        <v>45955</v>
      </c>
      <c r="O23" s="49">
        <v>46314</v>
      </c>
      <c r="P23" s="51">
        <v>1750905</v>
      </c>
      <c r="Q23" s="49">
        <v>46224</v>
      </c>
      <c r="R23" s="49" t="s">
        <v>45</v>
      </c>
      <c r="S23" s="47" t="s">
        <v>46</v>
      </c>
      <c r="T23" s="49"/>
      <c r="U23" s="47"/>
      <c r="V23" s="47"/>
      <c r="W23" s="44"/>
      <c r="X23" s="47"/>
      <c r="Y23" s="47"/>
      <c r="Z23" s="47"/>
      <c r="AA23" s="47"/>
    </row>
    <row r="24" spans="1:27" x14ac:dyDescent="0.35">
      <c r="A24" s="47">
        <v>99</v>
      </c>
      <c r="B24" s="47">
        <v>20723788</v>
      </c>
      <c r="C24" s="39">
        <v>4107413227185200</v>
      </c>
      <c r="D24" s="49">
        <v>46219</v>
      </c>
      <c r="E24" s="49" t="s">
        <v>67</v>
      </c>
      <c r="F24" s="49">
        <v>46111</v>
      </c>
      <c r="G24" s="49">
        <v>46160</v>
      </c>
      <c r="H24" s="47">
        <v>50</v>
      </c>
      <c r="I24" s="47">
        <v>194</v>
      </c>
      <c r="J24" s="47" t="s">
        <v>224</v>
      </c>
      <c r="K24" s="47" t="s">
        <v>94</v>
      </c>
      <c r="L24" s="47" t="s">
        <v>94</v>
      </c>
      <c r="M24" s="50" t="s">
        <v>76</v>
      </c>
      <c r="N24" s="49">
        <v>45955</v>
      </c>
      <c r="O24" s="49">
        <v>46314</v>
      </c>
      <c r="P24" s="51">
        <v>2918175</v>
      </c>
      <c r="Q24" s="49">
        <v>46224</v>
      </c>
      <c r="R24" s="49" t="s">
        <v>45</v>
      </c>
      <c r="S24" s="47" t="s">
        <v>46</v>
      </c>
      <c r="T24" s="49"/>
      <c r="U24" s="47"/>
      <c r="V24" s="47"/>
      <c r="W24" s="44"/>
      <c r="X24" s="47"/>
      <c r="Y24" s="47"/>
      <c r="Z24" s="47"/>
      <c r="AA24" s="47"/>
    </row>
    <row r="25" spans="1:27" x14ac:dyDescent="0.35">
      <c r="A25" s="47">
        <v>170</v>
      </c>
      <c r="B25" s="47">
        <v>23333262</v>
      </c>
      <c r="C25" s="39">
        <v>106523013597600</v>
      </c>
      <c r="D25" s="49">
        <v>46218</v>
      </c>
      <c r="E25" s="52" t="s">
        <v>24</v>
      </c>
      <c r="F25" s="52">
        <v>46098</v>
      </c>
      <c r="G25" s="52">
        <v>46207</v>
      </c>
      <c r="H25" s="47">
        <v>110</v>
      </c>
      <c r="I25" s="47">
        <v>110</v>
      </c>
      <c r="J25" s="47" t="s">
        <v>95</v>
      </c>
      <c r="K25" s="47" t="s">
        <v>96</v>
      </c>
      <c r="L25" s="47" t="s">
        <v>96</v>
      </c>
      <c r="M25" s="50" t="s">
        <v>97</v>
      </c>
      <c r="N25" s="49">
        <v>46098</v>
      </c>
      <c r="O25" s="49">
        <v>46457</v>
      </c>
      <c r="P25" s="51">
        <v>6419985</v>
      </c>
      <c r="Q25" s="49">
        <v>46224</v>
      </c>
      <c r="R25" s="49" t="s">
        <v>45</v>
      </c>
      <c r="S25" s="47" t="s">
        <v>46</v>
      </c>
      <c r="T25" s="49"/>
      <c r="U25" s="47"/>
      <c r="V25" s="47"/>
      <c r="W25" s="44"/>
      <c r="X25" s="47"/>
      <c r="Y25" s="47"/>
      <c r="Z25" s="47"/>
      <c r="AA25" s="47"/>
    </row>
    <row r="26" spans="1:27" x14ac:dyDescent="0.35">
      <c r="A26" s="47">
        <v>92</v>
      </c>
      <c r="B26" s="47">
        <v>25175424</v>
      </c>
      <c r="C26" s="39">
        <v>105672028343100</v>
      </c>
      <c r="D26" s="49">
        <v>46219</v>
      </c>
      <c r="E26" s="49" t="s">
        <v>67</v>
      </c>
      <c r="F26" s="49">
        <v>46218</v>
      </c>
      <c r="G26" s="49">
        <v>46232</v>
      </c>
      <c r="H26" s="47">
        <v>15</v>
      </c>
      <c r="I26" s="47">
        <v>275</v>
      </c>
      <c r="J26" s="47" t="s">
        <v>98</v>
      </c>
      <c r="K26" s="47">
        <v>1750905</v>
      </c>
      <c r="L26" s="47">
        <v>1750905</v>
      </c>
      <c r="M26" s="50">
        <v>30</v>
      </c>
      <c r="N26" s="49">
        <v>45954</v>
      </c>
      <c r="O26" s="49">
        <v>46313</v>
      </c>
      <c r="P26" s="51">
        <v>875453</v>
      </c>
      <c r="Q26" s="49">
        <v>46224</v>
      </c>
      <c r="R26" s="49" t="s">
        <v>45</v>
      </c>
      <c r="S26" s="47" t="s">
        <v>46</v>
      </c>
      <c r="T26" s="49"/>
      <c r="U26" s="47"/>
      <c r="V26" s="47"/>
      <c r="W26" s="44"/>
      <c r="X26" s="47"/>
      <c r="Y26" s="47"/>
      <c r="Z26" s="47"/>
      <c r="AA26" s="47"/>
    </row>
    <row r="27" spans="1:27" x14ac:dyDescent="0.35">
      <c r="A27" s="47">
        <v>38</v>
      </c>
      <c r="B27" s="47">
        <v>25776979</v>
      </c>
      <c r="C27" s="39">
        <v>4107413227131700</v>
      </c>
      <c r="D27" s="49">
        <v>46219</v>
      </c>
      <c r="E27" s="49" t="s">
        <v>67</v>
      </c>
      <c r="F27" s="49">
        <v>46189</v>
      </c>
      <c r="G27" s="49">
        <v>46218</v>
      </c>
      <c r="H27" s="47">
        <v>30</v>
      </c>
      <c r="I27" s="47">
        <v>112</v>
      </c>
      <c r="J27" s="47" t="s">
        <v>99</v>
      </c>
      <c r="K27" s="47" t="s">
        <v>78</v>
      </c>
      <c r="L27" s="47" t="s">
        <v>78</v>
      </c>
      <c r="M27" s="50" t="s">
        <v>70</v>
      </c>
      <c r="N27" s="49">
        <v>46082</v>
      </c>
      <c r="O27" s="49">
        <v>46441</v>
      </c>
      <c r="P27" s="51">
        <v>1750905</v>
      </c>
      <c r="Q27" s="49">
        <v>46224</v>
      </c>
      <c r="R27" s="49" t="s">
        <v>45</v>
      </c>
      <c r="S27" s="47" t="s">
        <v>46</v>
      </c>
      <c r="T27" s="49"/>
      <c r="U27" s="47"/>
      <c r="V27" s="47"/>
      <c r="W27" s="44"/>
      <c r="X27" s="47"/>
      <c r="Y27" s="47"/>
      <c r="Z27" s="47"/>
      <c r="AA27" s="47"/>
    </row>
    <row r="28" spans="1:27" x14ac:dyDescent="0.35">
      <c r="A28" s="47">
        <v>27</v>
      </c>
      <c r="B28" s="47">
        <v>26430039</v>
      </c>
      <c r="C28" s="39">
        <v>105440017507500</v>
      </c>
      <c r="D28" s="49">
        <v>46219</v>
      </c>
      <c r="E28" s="49" t="s">
        <v>67</v>
      </c>
      <c r="F28" s="49">
        <v>46201</v>
      </c>
      <c r="G28" s="49">
        <v>46230</v>
      </c>
      <c r="H28" s="47">
        <v>30</v>
      </c>
      <c r="I28" s="47">
        <v>205</v>
      </c>
      <c r="J28" s="47" t="s">
        <v>100</v>
      </c>
      <c r="K28" s="47" t="s">
        <v>93</v>
      </c>
      <c r="L28" s="47" t="s">
        <v>93</v>
      </c>
      <c r="M28" s="50" t="s">
        <v>70</v>
      </c>
      <c r="N28" s="49">
        <v>46026</v>
      </c>
      <c r="O28" s="49">
        <v>46385</v>
      </c>
      <c r="P28" s="51">
        <v>1750905</v>
      </c>
      <c r="Q28" s="49">
        <v>46224</v>
      </c>
      <c r="R28" s="49" t="s">
        <v>45</v>
      </c>
      <c r="S28" s="47" t="s">
        <v>46</v>
      </c>
      <c r="T28" s="49"/>
      <c r="U28" s="47"/>
      <c r="V28" s="47"/>
      <c r="W28" s="44"/>
      <c r="X28" s="47"/>
      <c r="Y28" s="47"/>
      <c r="Z28" s="47"/>
      <c r="AA28" s="47"/>
    </row>
    <row r="29" spans="1:27" x14ac:dyDescent="0.35">
      <c r="A29" s="47">
        <v>183</v>
      </c>
      <c r="B29" s="47">
        <v>28155795</v>
      </c>
      <c r="C29" s="39">
        <v>106301038184000</v>
      </c>
      <c r="D29" s="49">
        <v>46218</v>
      </c>
      <c r="E29" s="52" t="s">
        <v>24</v>
      </c>
      <c r="F29" s="52">
        <v>46202</v>
      </c>
      <c r="G29" s="52">
        <v>46231</v>
      </c>
      <c r="H29" s="47">
        <v>30</v>
      </c>
      <c r="I29" s="47">
        <v>30</v>
      </c>
      <c r="J29" s="47" t="s">
        <v>101</v>
      </c>
      <c r="K29" s="47" t="s">
        <v>78</v>
      </c>
      <c r="L29" s="47" t="s">
        <v>78</v>
      </c>
      <c r="M29" s="50" t="s">
        <v>70</v>
      </c>
      <c r="N29" s="49">
        <v>46202</v>
      </c>
      <c r="O29" s="49">
        <v>46561</v>
      </c>
      <c r="P29" s="51">
        <v>1750905</v>
      </c>
      <c r="Q29" s="49">
        <v>46224</v>
      </c>
      <c r="R29" s="49" t="s">
        <v>45</v>
      </c>
      <c r="S29" s="47" t="s">
        <v>46</v>
      </c>
      <c r="T29" s="49"/>
      <c r="U29" s="47"/>
      <c r="V29" s="47"/>
      <c r="W29" s="44"/>
      <c r="X29" s="47"/>
      <c r="Y29" s="47"/>
      <c r="Z29" s="47"/>
      <c r="AA29" s="47"/>
    </row>
    <row r="30" spans="1:27" x14ac:dyDescent="0.35">
      <c r="A30" s="47">
        <v>48</v>
      </c>
      <c r="B30" s="47">
        <v>29352378</v>
      </c>
      <c r="C30" s="39">
        <v>103802053249900</v>
      </c>
      <c r="D30" s="49">
        <v>46219</v>
      </c>
      <c r="E30" s="49" t="s">
        <v>67</v>
      </c>
      <c r="F30" s="49">
        <v>46199</v>
      </c>
      <c r="G30" s="49">
        <v>46228</v>
      </c>
      <c r="H30" s="47">
        <v>30</v>
      </c>
      <c r="I30" s="47">
        <v>90</v>
      </c>
      <c r="J30" s="47" t="s">
        <v>102</v>
      </c>
      <c r="K30" s="47" t="s">
        <v>78</v>
      </c>
      <c r="L30" s="47" t="s">
        <v>78</v>
      </c>
      <c r="M30" s="50" t="s">
        <v>70</v>
      </c>
      <c r="N30" s="49">
        <v>46139</v>
      </c>
      <c r="O30" s="49">
        <v>46498</v>
      </c>
      <c r="P30" s="51">
        <v>1750905</v>
      </c>
      <c r="Q30" s="49">
        <v>46224</v>
      </c>
      <c r="R30" s="49" t="s">
        <v>45</v>
      </c>
      <c r="S30" s="47" t="s">
        <v>46</v>
      </c>
      <c r="T30" s="49"/>
      <c r="U30" s="47"/>
      <c r="V30" s="47"/>
      <c r="W30" s="44"/>
      <c r="X30" s="47"/>
      <c r="Y30" s="47"/>
      <c r="Z30" s="47"/>
      <c r="AA30" s="47"/>
    </row>
    <row r="31" spans="1:27" x14ac:dyDescent="0.35">
      <c r="A31" s="47">
        <v>175</v>
      </c>
      <c r="B31" s="47">
        <v>29787294</v>
      </c>
      <c r="C31" s="39">
        <v>103872016725400</v>
      </c>
      <c r="D31" s="49">
        <v>46218</v>
      </c>
      <c r="E31" s="49" t="s">
        <v>67</v>
      </c>
      <c r="F31" s="49">
        <v>46194</v>
      </c>
      <c r="G31" s="49">
        <v>46215</v>
      </c>
      <c r="H31" s="47">
        <v>22</v>
      </c>
      <c r="I31" s="47">
        <v>351</v>
      </c>
      <c r="J31" s="47" t="s">
        <v>89</v>
      </c>
      <c r="K31" s="47" t="s">
        <v>78</v>
      </c>
      <c r="L31" s="47" t="s">
        <v>78</v>
      </c>
      <c r="M31" s="50" t="s">
        <v>70</v>
      </c>
      <c r="N31" s="49">
        <v>45856</v>
      </c>
      <c r="O31" s="49">
        <v>46215</v>
      </c>
      <c r="P31" s="51">
        <v>1283997</v>
      </c>
      <c r="Q31" s="49">
        <v>46224</v>
      </c>
      <c r="R31" s="49" t="s">
        <v>45</v>
      </c>
      <c r="S31" s="47" t="s">
        <v>46</v>
      </c>
      <c r="T31" s="49"/>
      <c r="U31" s="47"/>
      <c r="V31" s="47"/>
      <c r="W31" s="44"/>
      <c r="X31" s="47"/>
      <c r="Y31" s="47"/>
      <c r="Z31" s="47"/>
      <c r="AA31" s="47"/>
    </row>
    <row r="32" spans="1:27" x14ac:dyDescent="0.35">
      <c r="A32" s="47">
        <v>167</v>
      </c>
      <c r="B32" s="47">
        <v>30187691</v>
      </c>
      <c r="C32" s="39">
        <v>4107413227153300</v>
      </c>
      <c r="D32" s="49">
        <v>46218</v>
      </c>
      <c r="E32" s="49" t="s">
        <v>67</v>
      </c>
      <c r="F32" s="49">
        <v>46187</v>
      </c>
      <c r="G32" s="49">
        <v>46216</v>
      </c>
      <c r="H32" s="47">
        <v>30</v>
      </c>
      <c r="I32" s="47">
        <v>187</v>
      </c>
      <c r="J32" s="47" t="s">
        <v>103</v>
      </c>
      <c r="K32" s="47" t="s">
        <v>93</v>
      </c>
      <c r="L32" s="47" t="s">
        <v>93</v>
      </c>
      <c r="M32" s="50" t="s">
        <v>70</v>
      </c>
      <c r="N32" s="49">
        <v>46016</v>
      </c>
      <c r="O32" s="49">
        <v>46375</v>
      </c>
      <c r="P32" s="51">
        <v>1750905</v>
      </c>
      <c r="Q32" s="49">
        <v>46224</v>
      </c>
      <c r="R32" s="49" t="s">
        <v>45</v>
      </c>
      <c r="S32" s="47" t="s">
        <v>46</v>
      </c>
      <c r="T32" s="49"/>
      <c r="U32" s="47"/>
      <c r="V32" s="47"/>
      <c r="W32" s="44"/>
      <c r="X32" s="47"/>
      <c r="Y32" s="47"/>
      <c r="Z32" s="47"/>
      <c r="AA32" s="47"/>
    </row>
    <row r="33" spans="1:27" x14ac:dyDescent="0.35">
      <c r="A33" s="47">
        <v>13</v>
      </c>
      <c r="B33" s="47">
        <v>30328160</v>
      </c>
      <c r="C33" s="39">
        <v>105670020327700</v>
      </c>
      <c r="D33" s="49">
        <v>46219</v>
      </c>
      <c r="E33" s="49" t="s">
        <v>67</v>
      </c>
      <c r="F33" s="49">
        <v>46198</v>
      </c>
      <c r="G33" s="49">
        <v>46210</v>
      </c>
      <c r="H33" s="47">
        <v>13</v>
      </c>
      <c r="I33" s="47">
        <v>300</v>
      </c>
      <c r="J33" s="47" t="s">
        <v>104</v>
      </c>
      <c r="K33" s="47" t="s">
        <v>78</v>
      </c>
      <c r="L33" s="47" t="s">
        <v>78</v>
      </c>
      <c r="M33" s="50" t="s">
        <v>70</v>
      </c>
      <c r="N33" s="49">
        <v>45925</v>
      </c>
      <c r="O33" s="49">
        <v>46284</v>
      </c>
      <c r="P33" s="51">
        <v>758726</v>
      </c>
      <c r="Q33" s="49">
        <v>46224</v>
      </c>
      <c r="R33" s="49" t="s">
        <v>45</v>
      </c>
      <c r="S33" s="47" t="s">
        <v>46</v>
      </c>
      <c r="T33" s="49"/>
      <c r="U33" s="47"/>
      <c r="V33" s="47"/>
      <c r="W33" s="44"/>
      <c r="X33" s="47"/>
      <c r="Y33" s="47"/>
      <c r="Z33" s="47"/>
      <c r="AA33" s="47"/>
    </row>
    <row r="34" spans="1:27" x14ac:dyDescent="0.35">
      <c r="A34" s="47">
        <v>21</v>
      </c>
      <c r="B34" s="47">
        <v>31710513</v>
      </c>
      <c r="C34" s="39">
        <v>105672028361100</v>
      </c>
      <c r="D34" s="49">
        <v>46219</v>
      </c>
      <c r="E34" s="49" t="s">
        <v>67</v>
      </c>
      <c r="F34" s="49">
        <v>46215</v>
      </c>
      <c r="G34" s="49">
        <v>46224</v>
      </c>
      <c r="H34" s="47">
        <v>10</v>
      </c>
      <c r="I34" s="47">
        <v>86</v>
      </c>
      <c r="J34" s="47" t="s">
        <v>105</v>
      </c>
      <c r="K34" s="47">
        <v>1750905</v>
      </c>
      <c r="L34" s="47">
        <v>1750905</v>
      </c>
      <c r="M34" s="50">
        <v>30</v>
      </c>
      <c r="N34" s="49">
        <v>46139</v>
      </c>
      <c r="O34" s="49">
        <v>46498</v>
      </c>
      <c r="P34" s="51">
        <v>583635</v>
      </c>
      <c r="Q34" s="49">
        <v>46224</v>
      </c>
      <c r="R34" s="49" t="s">
        <v>45</v>
      </c>
      <c r="S34" s="47" t="s">
        <v>46</v>
      </c>
      <c r="T34" s="49"/>
      <c r="U34" s="47"/>
      <c r="V34" s="47"/>
      <c r="W34" s="44"/>
      <c r="X34" s="47"/>
      <c r="Y34" s="47"/>
      <c r="Z34" s="47"/>
      <c r="AA34" s="47"/>
    </row>
    <row r="35" spans="1:27" x14ac:dyDescent="0.35">
      <c r="A35" s="47">
        <v>198</v>
      </c>
      <c r="B35" s="47">
        <v>34569199</v>
      </c>
      <c r="C35" s="39">
        <v>103874014932000</v>
      </c>
      <c r="D35" s="49">
        <v>46185</v>
      </c>
      <c r="E35" s="52" t="s">
        <v>24</v>
      </c>
      <c r="F35" s="52">
        <v>46125</v>
      </c>
      <c r="G35" s="52">
        <v>46167</v>
      </c>
      <c r="H35" s="47">
        <v>43</v>
      </c>
      <c r="I35" s="47">
        <v>43</v>
      </c>
      <c r="J35" s="47" t="s">
        <v>102</v>
      </c>
      <c r="K35" s="47" t="s">
        <v>78</v>
      </c>
      <c r="L35" s="47" t="s">
        <v>78</v>
      </c>
      <c r="M35" s="50" t="s">
        <v>70</v>
      </c>
      <c r="N35" s="49">
        <v>46125</v>
      </c>
      <c r="O35" s="49">
        <v>46484</v>
      </c>
      <c r="P35" s="51">
        <v>2509631</v>
      </c>
      <c r="Q35" s="49">
        <v>46224</v>
      </c>
      <c r="R35" s="49" t="s">
        <v>45</v>
      </c>
      <c r="S35" s="47" t="s">
        <v>106</v>
      </c>
      <c r="T35" s="49"/>
      <c r="U35" s="47"/>
      <c r="V35" s="47"/>
      <c r="W35" s="44" t="s">
        <v>107</v>
      </c>
      <c r="X35" s="47"/>
      <c r="Y35" s="47"/>
      <c r="Z35" s="47"/>
      <c r="AA35" s="47"/>
    </row>
    <row r="36" spans="1:27" x14ac:dyDescent="0.35">
      <c r="A36" s="47">
        <v>145</v>
      </c>
      <c r="B36" s="47">
        <v>35418209</v>
      </c>
      <c r="C36" s="39">
        <v>4107413227114400</v>
      </c>
      <c r="D36" s="49">
        <v>46218</v>
      </c>
      <c r="E36" s="49" t="s">
        <v>67</v>
      </c>
      <c r="F36" s="49">
        <v>46199</v>
      </c>
      <c r="G36" s="49">
        <v>46228</v>
      </c>
      <c r="H36" s="47">
        <v>30</v>
      </c>
      <c r="I36" s="47">
        <v>352</v>
      </c>
      <c r="J36" s="47" t="s">
        <v>91</v>
      </c>
      <c r="K36" s="47" t="s">
        <v>108</v>
      </c>
      <c r="L36" s="47" t="s">
        <v>108</v>
      </c>
      <c r="M36" s="50" t="s">
        <v>70</v>
      </c>
      <c r="N36" s="49">
        <v>45877</v>
      </c>
      <c r="O36" s="49">
        <v>46236</v>
      </c>
      <c r="P36" s="51">
        <v>1750905</v>
      </c>
      <c r="Q36" s="49">
        <v>46224</v>
      </c>
      <c r="R36" s="49" t="s">
        <v>45</v>
      </c>
      <c r="S36" s="47" t="s">
        <v>46</v>
      </c>
      <c r="T36" s="49"/>
      <c r="U36" s="47"/>
      <c r="V36" s="47"/>
      <c r="W36" s="44"/>
      <c r="X36" s="47"/>
      <c r="Y36" s="47"/>
      <c r="Z36" s="47"/>
      <c r="AA36" s="47"/>
    </row>
    <row r="37" spans="1:27" x14ac:dyDescent="0.35">
      <c r="A37" s="47">
        <v>190</v>
      </c>
      <c r="B37" s="47">
        <v>37863948</v>
      </c>
      <c r="C37" s="39">
        <v>106222010287000</v>
      </c>
      <c r="D37" s="49">
        <v>46217</v>
      </c>
      <c r="E37" s="49" t="s">
        <v>109</v>
      </c>
      <c r="F37" s="49">
        <v>46195</v>
      </c>
      <c r="G37" s="49">
        <v>46206</v>
      </c>
      <c r="H37" s="47">
        <v>12</v>
      </c>
      <c r="I37" s="47">
        <v>165</v>
      </c>
      <c r="J37" s="47" t="s">
        <v>89</v>
      </c>
      <c r="K37" s="47" t="s">
        <v>78</v>
      </c>
      <c r="L37" s="47" t="s">
        <v>78</v>
      </c>
      <c r="M37" s="50" t="s">
        <v>70</v>
      </c>
      <c r="N37" s="49">
        <v>46017</v>
      </c>
      <c r="O37" s="49">
        <v>46376</v>
      </c>
      <c r="P37" s="51">
        <v>700362</v>
      </c>
      <c r="Q37" s="49">
        <v>46224</v>
      </c>
      <c r="R37" s="49" t="s">
        <v>45</v>
      </c>
      <c r="S37" s="47" t="s">
        <v>46</v>
      </c>
      <c r="T37" s="49"/>
      <c r="U37" s="47"/>
      <c r="V37" s="47"/>
      <c r="W37" s="44"/>
      <c r="X37" s="47"/>
      <c r="Y37" s="47"/>
      <c r="Z37" s="47"/>
      <c r="AA37" s="47"/>
    </row>
    <row r="38" spans="1:27" x14ac:dyDescent="0.35">
      <c r="A38" s="47">
        <v>44</v>
      </c>
      <c r="B38" s="47">
        <v>39427674</v>
      </c>
      <c r="C38" s="39">
        <v>4107413227180100</v>
      </c>
      <c r="D38" s="49">
        <v>46219</v>
      </c>
      <c r="E38" s="49" t="s">
        <v>67</v>
      </c>
      <c r="F38" s="49">
        <v>46217</v>
      </c>
      <c r="G38" s="49">
        <v>46226</v>
      </c>
      <c r="H38" s="47">
        <v>10</v>
      </c>
      <c r="I38" s="47">
        <v>94</v>
      </c>
      <c r="J38" s="47" t="s">
        <v>95</v>
      </c>
      <c r="K38" s="47">
        <v>1750905</v>
      </c>
      <c r="L38" s="47">
        <v>1750905</v>
      </c>
      <c r="M38" s="50">
        <v>30</v>
      </c>
      <c r="N38" s="49">
        <v>46133</v>
      </c>
      <c r="O38" s="49">
        <v>46492</v>
      </c>
      <c r="P38" s="51">
        <v>583635</v>
      </c>
      <c r="Q38" s="49">
        <v>46224</v>
      </c>
      <c r="R38" s="49" t="s">
        <v>45</v>
      </c>
      <c r="S38" s="47" t="s">
        <v>46</v>
      </c>
      <c r="T38" s="49"/>
      <c r="U38" s="47"/>
      <c r="V38" s="47"/>
      <c r="W38" s="44"/>
      <c r="X38" s="47"/>
      <c r="Y38" s="47"/>
      <c r="Z38" s="47"/>
      <c r="AA38" s="47"/>
    </row>
    <row r="39" spans="1:27" x14ac:dyDescent="0.35">
      <c r="A39" s="47">
        <v>97</v>
      </c>
      <c r="B39" s="47">
        <v>42781626</v>
      </c>
      <c r="C39" s="39">
        <v>102222026957800</v>
      </c>
      <c r="D39" s="49">
        <v>46219</v>
      </c>
      <c r="E39" s="49" t="s">
        <v>67</v>
      </c>
      <c r="F39" s="49">
        <v>46163</v>
      </c>
      <c r="G39" s="49">
        <v>46193</v>
      </c>
      <c r="H39" s="47">
        <v>31</v>
      </c>
      <c r="I39" s="47">
        <v>61</v>
      </c>
      <c r="J39" s="47" t="s">
        <v>110</v>
      </c>
      <c r="K39" s="47" t="s">
        <v>111</v>
      </c>
      <c r="L39" s="47" t="s">
        <v>111</v>
      </c>
      <c r="M39" s="50" t="s">
        <v>70</v>
      </c>
      <c r="N39" s="49">
        <v>46086</v>
      </c>
      <c r="O39" s="49">
        <v>46445</v>
      </c>
      <c r="P39" s="51">
        <v>1809269</v>
      </c>
      <c r="Q39" s="49">
        <v>46224</v>
      </c>
      <c r="R39" s="49" t="s">
        <v>45</v>
      </c>
      <c r="S39" s="47" t="s">
        <v>46</v>
      </c>
      <c r="T39" s="49"/>
      <c r="U39" s="47"/>
      <c r="V39" s="47"/>
      <c r="W39" s="44"/>
      <c r="X39" s="47"/>
      <c r="Y39" s="47"/>
      <c r="Z39" s="47"/>
      <c r="AA39" s="47"/>
    </row>
    <row r="40" spans="1:27" x14ac:dyDescent="0.35">
      <c r="A40" s="47">
        <v>104</v>
      </c>
      <c r="B40" s="47">
        <v>43182196</v>
      </c>
      <c r="C40" s="39">
        <v>102222026958500</v>
      </c>
      <c r="D40" s="49">
        <v>46219</v>
      </c>
      <c r="E40" s="49" t="s">
        <v>67</v>
      </c>
      <c r="F40" s="49">
        <v>46214</v>
      </c>
      <c r="G40" s="49">
        <v>46231</v>
      </c>
      <c r="H40" s="47">
        <v>18</v>
      </c>
      <c r="I40" s="47">
        <v>151</v>
      </c>
      <c r="J40" s="47" t="s">
        <v>112</v>
      </c>
      <c r="K40" s="47">
        <v>1809269</v>
      </c>
      <c r="L40" s="47">
        <v>1809269</v>
      </c>
      <c r="M40" s="50">
        <v>30</v>
      </c>
      <c r="N40" s="49">
        <v>46079</v>
      </c>
      <c r="O40" s="49">
        <v>46438</v>
      </c>
      <c r="P40" s="51">
        <v>1050543</v>
      </c>
      <c r="Q40" s="49">
        <v>46224</v>
      </c>
      <c r="R40" s="49" t="s">
        <v>45</v>
      </c>
      <c r="S40" s="47" t="s">
        <v>46</v>
      </c>
      <c r="T40" s="49"/>
      <c r="U40" s="47"/>
      <c r="V40" s="47"/>
      <c r="W40" s="44"/>
      <c r="X40" s="47"/>
      <c r="Y40" s="47"/>
      <c r="Z40" s="47"/>
      <c r="AA40" s="47"/>
    </row>
    <row r="41" spans="1:27" x14ac:dyDescent="0.35">
      <c r="A41" s="47">
        <v>9</v>
      </c>
      <c r="B41" s="47">
        <v>43183619</v>
      </c>
      <c r="C41" s="39">
        <v>102222026959400</v>
      </c>
      <c r="D41" s="49">
        <v>46219</v>
      </c>
      <c r="E41" s="49" t="s">
        <v>67</v>
      </c>
      <c r="F41" s="49">
        <v>46194</v>
      </c>
      <c r="G41" s="49">
        <v>46221</v>
      </c>
      <c r="H41" s="47">
        <v>28</v>
      </c>
      <c r="I41" s="47">
        <v>277</v>
      </c>
      <c r="J41" s="47" t="s">
        <v>105</v>
      </c>
      <c r="K41" s="47" t="s">
        <v>93</v>
      </c>
      <c r="L41" s="47" t="s">
        <v>93</v>
      </c>
      <c r="M41" s="50" t="s">
        <v>70</v>
      </c>
      <c r="N41" s="49">
        <v>45945</v>
      </c>
      <c r="O41" s="49">
        <v>46304</v>
      </c>
      <c r="P41" s="51">
        <v>1634178</v>
      </c>
      <c r="Q41" s="49">
        <v>46224</v>
      </c>
      <c r="R41" s="49" t="s">
        <v>45</v>
      </c>
      <c r="S41" s="47" t="s">
        <v>46</v>
      </c>
      <c r="T41" s="49"/>
      <c r="U41" s="47"/>
      <c r="V41" s="47"/>
      <c r="W41" s="44"/>
      <c r="X41" s="47"/>
      <c r="Y41" s="47"/>
      <c r="Z41" s="47"/>
      <c r="AA41" s="47"/>
    </row>
    <row r="42" spans="1:27" x14ac:dyDescent="0.35">
      <c r="A42" s="47">
        <v>88</v>
      </c>
      <c r="B42" s="47">
        <v>43873758</v>
      </c>
      <c r="C42" s="39">
        <v>102222026960000</v>
      </c>
      <c r="D42" s="49">
        <v>46219</v>
      </c>
      <c r="E42" s="49" t="s">
        <v>67</v>
      </c>
      <c r="F42" s="49">
        <v>46207</v>
      </c>
      <c r="G42" s="49">
        <v>46236</v>
      </c>
      <c r="H42" s="47">
        <v>30</v>
      </c>
      <c r="I42" s="47">
        <v>270</v>
      </c>
      <c r="J42" s="47" t="s">
        <v>113</v>
      </c>
      <c r="K42" s="47" t="s">
        <v>78</v>
      </c>
      <c r="L42" s="47" t="s">
        <v>78</v>
      </c>
      <c r="M42" s="50" t="s">
        <v>70</v>
      </c>
      <c r="N42" s="49">
        <v>45967</v>
      </c>
      <c r="O42" s="49">
        <v>46326</v>
      </c>
      <c r="P42" s="51">
        <v>1750905</v>
      </c>
      <c r="Q42" s="49">
        <v>46224</v>
      </c>
      <c r="R42" s="49" t="s">
        <v>45</v>
      </c>
      <c r="S42" s="47" t="s">
        <v>46</v>
      </c>
      <c r="T42" s="49"/>
      <c r="U42" s="47"/>
      <c r="V42" s="47"/>
      <c r="W42" s="44"/>
      <c r="X42" s="47"/>
      <c r="Y42" s="47"/>
      <c r="Z42" s="47"/>
      <c r="AA42" s="47"/>
    </row>
    <row r="43" spans="1:27" x14ac:dyDescent="0.35">
      <c r="A43" s="47">
        <v>131</v>
      </c>
      <c r="B43" s="47">
        <v>46455408</v>
      </c>
      <c r="C43" s="39">
        <v>4107413227073200</v>
      </c>
      <c r="D43" s="49">
        <v>46218</v>
      </c>
      <c r="E43" s="49" t="s">
        <v>67</v>
      </c>
      <c r="F43" s="49">
        <v>46214</v>
      </c>
      <c r="G43" s="49">
        <v>46227</v>
      </c>
      <c r="H43" s="47">
        <v>14</v>
      </c>
      <c r="I43" s="47">
        <v>315</v>
      </c>
      <c r="J43" s="47" t="s">
        <v>230</v>
      </c>
      <c r="K43" s="47">
        <v>1750905</v>
      </c>
      <c r="L43" s="47">
        <v>1750905</v>
      </c>
      <c r="M43" s="50">
        <v>30</v>
      </c>
      <c r="N43" s="49">
        <v>45913</v>
      </c>
      <c r="O43" s="49">
        <v>46272</v>
      </c>
      <c r="P43" s="51">
        <v>817089</v>
      </c>
      <c r="Q43" s="49">
        <v>46224</v>
      </c>
      <c r="R43" s="49" t="s">
        <v>45</v>
      </c>
      <c r="S43" s="47" t="s">
        <v>46</v>
      </c>
      <c r="T43" s="49"/>
      <c r="U43" s="47"/>
      <c r="V43" s="47"/>
      <c r="W43" s="44"/>
      <c r="X43" s="47"/>
      <c r="Y43" s="47"/>
      <c r="Z43" s="47"/>
      <c r="AA43" s="47"/>
    </row>
    <row r="44" spans="1:27" x14ac:dyDescent="0.35">
      <c r="A44" s="47">
        <v>77</v>
      </c>
      <c r="B44" s="47">
        <v>52485759</v>
      </c>
      <c r="C44" s="39">
        <v>190154008240200</v>
      </c>
      <c r="D44" s="49">
        <v>46219</v>
      </c>
      <c r="E44" s="52" t="s">
        <v>24</v>
      </c>
      <c r="F44" s="52">
        <v>46092</v>
      </c>
      <c r="G44" s="52">
        <v>46121</v>
      </c>
      <c r="H44" s="47">
        <v>30</v>
      </c>
      <c r="I44" s="47">
        <v>30</v>
      </c>
      <c r="J44" s="47" t="s">
        <v>114</v>
      </c>
      <c r="K44" s="47" t="s">
        <v>93</v>
      </c>
      <c r="L44" s="47" t="s">
        <v>93</v>
      </c>
      <c r="M44" s="50" t="s">
        <v>70</v>
      </c>
      <c r="N44" s="49">
        <v>46092</v>
      </c>
      <c r="O44" s="49">
        <v>46451</v>
      </c>
      <c r="P44" s="51">
        <v>1750905</v>
      </c>
      <c r="Q44" s="49">
        <v>46224</v>
      </c>
      <c r="R44" s="49" t="s">
        <v>45</v>
      </c>
      <c r="S44" s="47" t="s">
        <v>46</v>
      </c>
      <c r="T44" s="49"/>
      <c r="U44" s="47"/>
      <c r="V44" s="47"/>
      <c r="W44" s="44"/>
      <c r="X44" s="47"/>
      <c r="Y44" s="47"/>
      <c r="Z44" s="47"/>
      <c r="AA44" s="47"/>
    </row>
    <row r="45" spans="1:27" x14ac:dyDescent="0.35">
      <c r="A45" s="47">
        <v>56</v>
      </c>
      <c r="B45" s="47">
        <v>52518957</v>
      </c>
      <c r="C45" s="39">
        <v>4107413227159700</v>
      </c>
      <c r="D45" s="49">
        <v>46219</v>
      </c>
      <c r="E45" s="49" t="s">
        <v>67</v>
      </c>
      <c r="F45" s="49">
        <v>46174</v>
      </c>
      <c r="G45" s="49">
        <v>46201</v>
      </c>
      <c r="H45" s="47">
        <v>28</v>
      </c>
      <c r="I45" s="47">
        <v>313</v>
      </c>
      <c r="J45" s="47" t="s">
        <v>231</v>
      </c>
      <c r="K45" s="47">
        <v>1750905</v>
      </c>
      <c r="L45" s="47">
        <v>1750905</v>
      </c>
      <c r="M45" s="50">
        <v>30</v>
      </c>
      <c r="N45" s="49">
        <v>45861</v>
      </c>
      <c r="O45" s="49">
        <v>46220</v>
      </c>
      <c r="P45" s="51">
        <v>1634178</v>
      </c>
      <c r="Q45" s="49">
        <v>46224</v>
      </c>
      <c r="R45" s="49" t="s">
        <v>45</v>
      </c>
      <c r="S45" s="47" t="s">
        <v>46</v>
      </c>
      <c r="T45" s="49"/>
      <c r="U45" s="47"/>
      <c r="V45" s="47"/>
      <c r="W45" s="44"/>
      <c r="X45" s="47"/>
      <c r="Y45" s="47"/>
      <c r="Z45" s="47"/>
      <c r="AA45" s="47"/>
    </row>
    <row r="46" spans="1:27" x14ac:dyDescent="0.35">
      <c r="A46" s="47">
        <v>169</v>
      </c>
      <c r="B46" s="47">
        <v>52726045</v>
      </c>
      <c r="C46" s="39">
        <v>4107413227152300</v>
      </c>
      <c r="D46" s="49">
        <v>46218</v>
      </c>
      <c r="E46" s="49" t="s">
        <v>67</v>
      </c>
      <c r="F46" s="49">
        <v>46193</v>
      </c>
      <c r="G46" s="49">
        <v>46222</v>
      </c>
      <c r="H46" s="47">
        <v>30</v>
      </c>
      <c r="I46" s="47">
        <v>139</v>
      </c>
      <c r="J46" s="47" t="s">
        <v>115</v>
      </c>
      <c r="K46" s="47" t="s">
        <v>93</v>
      </c>
      <c r="L46" s="47" t="s">
        <v>93</v>
      </c>
      <c r="M46" s="50" t="s">
        <v>70</v>
      </c>
      <c r="N46" s="49">
        <v>46044</v>
      </c>
      <c r="O46" s="49">
        <v>46403</v>
      </c>
      <c r="P46" s="51">
        <v>1750905</v>
      </c>
      <c r="Q46" s="49">
        <v>46224</v>
      </c>
      <c r="R46" s="49" t="s">
        <v>45</v>
      </c>
      <c r="S46" s="47" t="s">
        <v>46</v>
      </c>
      <c r="T46" s="49"/>
      <c r="U46" s="47"/>
      <c r="V46" s="47"/>
      <c r="W46" s="44"/>
      <c r="X46" s="47"/>
      <c r="Y46" s="47"/>
      <c r="Z46" s="47"/>
      <c r="AA46" s="47"/>
    </row>
    <row r="47" spans="1:27" x14ac:dyDescent="0.35">
      <c r="A47" s="47">
        <v>185</v>
      </c>
      <c r="B47" s="47">
        <v>52732067</v>
      </c>
      <c r="C47" s="39">
        <v>4100292633321900</v>
      </c>
      <c r="D47" s="49">
        <v>46218</v>
      </c>
      <c r="E47" s="49" t="s">
        <v>67</v>
      </c>
      <c r="F47" s="49">
        <v>46170</v>
      </c>
      <c r="G47" s="49">
        <v>46198</v>
      </c>
      <c r="H47" s="47">
        <v>29</v>
      </c>
      <c r="I47" s="47">
        <v>114</v>
      </c>
      <c r="J47" s="47" t="s">
        <v>95</v>
      </c>
      <c r="K47" s="47" t="s">
        <v>108</v>
      </c>
      <c r="L47" s="47" t="s">
        <v>108</v>
      </c>
      <c r="M47" s="50" t="s">
        <v>70</v>
      </c>
      <c r="N47" s="49">
        <v>46085</v>
      </c>
      <c r="O47" s="49">
        <v>46444</v>
      </c>
      <c r="P47" s="51">
        <v>1692542</v>
      </c>
      <c r="Q47" s="49">
        <v>46224</v>
      </c>
      <c r="R47" s="49" t="s">
        <v>45</v>
      </c>
      <c r="S47" s="47" t="s">
        <v>46</v>
      </c>
      <c r="T47" s="49"/>
      <c r="U47" s="47"/>
      <c r="V47" s="47"/>
      <c r="W47" s="44"/>
      <c r="X47" s="47"/>
      <c r="Y47" s="47"/>
      <c r="Z47" s="47"/>
      <c r="AA47" s="47"/>
    </row>
    <row r="48" spans="1:27" x14ac:dyDescent="0.35">
      <c r="A48" s="47">
        <v>150</v>
      </c>
      <c r="B48" s="47">
        <v>52954120</v>
      </c>
      <c r="C48" s="39">
        <v>4107413227075000</v>
      </c>
      <c r="D48" s="49">
        <v>46218</v>
      </c>
      <c r="E48" s="49" t="s">
        <v>67</v>
      </c>
      <c r="F48" s="49">
        <v>46214</v>
      </c>
      <c r="G48" s="49">
        <v>46216</v>
      </c>
      <c r="H48" s="47">
        <v>3</v>
      </c>
      <c r="I48" s="47">
        <v>90</v>
      </c>
      <c r="J48" s="47" t="s">
        <v>116</v>
      </c>
      <c r="K48" s="47">
        <v>1750905</v>
      </c>
      <c r="L48" s="47">
        <v>1750905</v>
      </c>
      <c r="M48" s="50">
        <v>30</v>
      </c>
      <c r="N48" s="49">
        <v>46107</v>
      </c>
      <c r="O48" s="49">
        <v>46466</v>
      </c>
      <c r="P48" s="51">
        <v>175091</v>
      </c>
      <c r="Q48" s="49">
        <v>46224</v>
      </c>
      <c r="R48" s="49" t="s">
        <v>45</v>
      </c>
      <c r="S48" s="47" t="s">
        <v>46</v>
      </c>
      <c r="T48" s="49"/>
      <c r="U48" s="47"/>
      <c r="V48" s="47"/>
      <c r="W48" s="44"/>
      <c r="X48" s="47"/>
      <c r="Y48" s="47"/>
      <c r="Z48" s="47"/>
      <c r="AA48" s="47"/>
    </row>
    <row r="49" spans="1:27" x14ac:dyDescent="0.35">
      <c r="A49" s="47">
        <v>192</v>
      </c>
      <c r="B49" s="47">
        <v>60311261</v>
      </c>
      <c r="C49" s="39">
        <v>106327022192300</v>
      </c>
      <c r="D49" s="49">
        <v>46217</v>
      </c>
      <c r="E49" s="52" t="s">
        <v>24</v>
      </c>
      <c r="F49" s="52">
        <v>45946</v>
      </c>
      <c r="G49" s="52">
        <v>46038</v>
      </c>
      <c r="H49" s="47">
        <v>93</v>
      </c>
      <c r="I49" s="47">
        <v>93</v>
      </c>
      <c r="J49" s="47" t="s">
        <v>119</v>
      </c>
      <c r="K49" s="47" t="s">
        <v>117</v>
      </c>
      <c r="L49" s="47" t="s">
        <v>117</v>
      </c>
      <c r="M49" s="50" t="s">
        <v>118</v>
      </c>
      <c r="N49" s="49">
        <v>45946</v>
      </c>
      <c r="O49" s="49">
        <v>46305</v>
      </c>
      <c r="P49" s="51">
        <v>4587466</v>
      </c>
      <c r="Q49" s="49">
        <v>46224</v>
      </c>
      <c r="R49" s="49" t="s">
        <v>45</v>
      </c>
      <c r="S49" s="47" t="s">
        <v>46</v>
      </c>
      <c r="T49" s="49"/>
      <c r="U49" s="47"/>
      <c r="V49" s="47"/>
      <c r="W49" s="44"/>
      <c r="X49" s="47"/>
      <c r="Y49" s="47"/>
      <c r="Z49" s="47"/>
      <c r="AA49" s="47"/>
    </row>
    <row r="50" spans="1:27" x14ac:dyDescent="0.35">
      <c r="A50" s="47">
        <v>193</v>
      </c>
      <c r="B50" s="47">
        <v>60311261</v>
      </c>
      <c r="C50" s="39">
        <v>106327022192300</v>
      </c>
      <c r="D50" s="49">
        <v>46217</v>
      </c>
      <c r="E50" s="52" t="s">
        <v>67</v>
      </c>
      <c r="F50" s="52">
        <v>46041</v>
      </c>
      <c r="G50" s="52">
        <v>46220</v>
      </c>
      <c r="H50" s="47">
        <v>180</v>
      </c>
      <c r="I50" s="47">
        <v>273</v>
      </c>
      <c r="J50" s="47" t="s">
        <v>119</v>
      </c>
      <c r="K50" s="47" t="s">
        <v>120</v>
      </c>
      <c r="L50" s="47" t="s">
        <v>120</v>
      </c>
      <c r="M50" s="50" t="s">
        <v>121</v>
      </c>
      <c r="N50" s="49">
        <v>45946</v>
      </c>
      <c r="O50" s="49">
        <v>46305</v>
      </c>
      <c r="P50" s="51">
        <v>10505430</v>
      </c>
      <c r="Q50" s="49">
        <v>46224</v>
      </c>
      <c r="R50" s="49" t="s">
        <v>45</v>
      </c>
      <c r="S50" s="47" t="s">
        <v>46</v>
      </c>
      <c r="T50" s="49"/>
      <c r="U50" s="47"/>
      <c r="V50" s="47"/>
      <c r="W50" s="44"/>
      <c r="X50" s="47"/>
      <c r="Y50" s="47"/>
      <c r="Z50" s="47"/>
      <c r="AA50" s="47"/>
    </row>
    <row r="51" spans="1:27" x14ac:dyDescent="0.35">
      <c r="A51" s="47">
        <v>112</v>
      </c>
      <c r="B51" s="47">
        <v>60412885</v>
      </c>
      <c r="C51" s="39">
        <v>106327022162800</v>
      </c>
      <c r="D51" s="49">
        <v>46218</v>
      </c>
      <c r="E51" s="49" t="s">
        <v>67</v>
      </c>
      <c r="F51" s="49">
        <v>46195</v>
      </c>
      <c r="G51" s="49">
        <v>46224</v>
      </c>
      <c r="H51" s="47">
        <v>30</v>
      </c>
      <c r="I51" s="47">
        <v>147</v>
      </c>
      <c r="J51" s="47" t="s">
        <v>122</v>
      </c>
      <c r="K51" s="47" t="s">
        <v>78</v>
      </c>
      <c r="L51" s="47" t="s">
        <v>78</v>
      </c>
      <c r="M51" s="50" t="s">
        <v>70</v>
      </c>
      <c r="N51" s="49">
        <v>46078</v>
      </c>
      <c r="O51" s="49">
        <v>46437</v>
      </c>
      <c r="P51" s="51">
        <v>1750905</v>
      </c>
      <c r="Q51" s="49">
        <v>46224</v>
      </c>
      <c r="R51" s="49" t="s">
        <v>45</v>
      </c>
      <c r="S51" s="47" t="s">
        <v>46</v>
      </c>
      <c r="T51" s="49"/>
      <c r="U51" s="47"/>
      <c r="V51" s="47"/>
      <c r="W51" s="44"/>
      <c r="X51" s="47"/>
      <c r="Y51" s="47"/>
      <c r="Z51" s="47"/>
      <c r="AA51" s="47"/>
    </row>
    <row r="52" spans="1:27" x14ac:dyDescent="0.35">
      <c r="A52" s="47">
        <v>158</v>
      </c>
      <c r="B52" s="47">
        <v>60444116</v>
      </c>
      <c r="C52" s="39">
        <v>106327022199100</v>
      </c>
      <c r="D52" s="49">
        <v>46218</v>
      </c>
      <c r="E52" s="49" t="s">
        <v>67</v>
      </c>
      <c r="F52" s="49">
        <v>46215</v>
      </c>
      <c r="G52" s="49">
        <v>46233</v>
      </c>
      <c r="H52" s="47">
        <v>19</v>
      </c>
      <c r="I52" s="47">
        <v>356</v>
      </c>
      <c r="J52" s="47" t="s">
        <v>123</v>
      </c>
      <c r="K52" s="47">
        <v>1750905</v>
      </c>
      <c r="L52" s="47">
        <v>1750905</v>
      </c>
      <c r="M52" s="50">
        <v>30</v>
      </c>
      <c r="N52" s="49">
        <v>45874</v>
      </c>
      <c r="O52" s="49">
        <v>46233</v>
      </c>
      <c r="P52" s="51">
        <v>1108907</v>
      </c>
      <c r="Q52" s="49">
        <v>46224</v>
      </c>
      <c r="R52" s="49" t="s">
        <v>45</v>
      </c>
      <c r="S52" s="47" t="s">
        <v>46</v>
      </c>
      <c r="T52" s="49"/>
      <c r="U52" s="47"/>
      <c r="V52" s="47"/>
      <c r="W52" s="44"/>
      <c r="X52" s="47"/>
      <c r="Y52" s="47"/>
      <c r="Z52" s="47"/>
      <c r="AA52" s="47"/>
    </row>
    <row r="53" spans="1:27" x14ac:dyDescent="0.35">
      <c r="A53" s="47">
        <v>138</v>
      </c>
      <c r="B53" s="47">
        <v>63554497</v>
      </c>
      <c r="C53" s="39">
        <v>106222010288300</v>
      </c>
      <c r="D53" s="49">
        <v>46218</v>
      </c>
      <c r="E53" s="49" t="s">
        <v>67</v>
      </c>
      <c r="F53" s="49">
        <v>46176</v>
      </c>
      <c r="G53" s="49">
        <v>46177</v>
      </c>
      <c r="H53" s="47">
        <v>2</v>
      </c>
      <c r="I53" s="47">
        <v>348</v>
      </c>
      <c r="J53" s="47" t="s">
        <v>98</v>
      </c>
      <c r="K53" s="47">
        <v>1750905</v>
      </c>
      <c r="L53" s="47">
        <v>1750905</v>
      </c>
      <c r="M53" s="50">
        <v>30</v>
      </c>
      <c r="N53" s="49">
        <v>45818</v>
      </c>
      <c r="O53" s="49">
        <v>46177</v>
      </c>
      <c r="P53" s="51">
        <v>116727</v>
      </c>
      <c r="Q53" s="49">
        <v>46224</v>
      </c>
      <c r="R53" s="49" t="s">
        <v>45</v>
      </c>
      <c r="S53" s="47" t="s">
        <v>46</v>
      </c>
      <c r="T53" s="49"/>
      <c r="U53" s="47"/>
      <c r="V53" s="47"/>
      <c r="W53" s="44"/>
      <c r="X53" s="47"/>
      <c r="Y53" s="47"/>
      <c r="Z53" s="47"/>
      <c r="AA53" s="47"/>
    </row>
    <row r="54" spans="1:27" x14ac:dyDescent="0.35">
      <c r="A54" s="47">
        <v>67</v>
      </c>
      <c r="B54" s="47">
        <v>66711750</v>
      </c>
      <c r="C54" s="39">
        <v>103872016725800</v>
      </c>
      <c r="D54" s="49">
        <v>46219</v>
      </c>
      <c r="E54" s="49" t="s">
        <v>67</v>
      </c>
      <c r="F54" s="49">
        <v>46214</v>
      </c>
      <c r="G54" s="49">
        <v>46223</v>
      </c>
      <c r="H54" s="47">
        <v>10</v>
      </c>
      <c r="I54" s="47">
        <v>233</v>
      </c>
      <c r="J54" s="47" t="s">
        <v>124</v>
      </c>
      <c r="K54" s="47">
        <v>1750906</v>
      </c>
      <c r="L54" s="47">
        <v>1750906</v>
      </c>
      <c r="M54" s="50">
        <v>30</v>
      </c>
      <c r="N54" s="49">
        <v>45991</v>
      </c>
      <c r="O54" s="49">
        <v>46350</v>
      </c>
      <c r="P54" s="51">
        <v>583635</v>
      </c>
      <c r="Q54" s="49">
        <v>46224</v>
      </c>
      <c r="R54" s="49" t="s">
        <v>45</v>
      </c>
      <c r="S54" s="47" t="s">
        <v>46</v>
      </c>
      <c r="T54" s="49"/>
      <c r="U54" s="47"/>
      <c r="V54" s="47"/>
      <c r="W54" s="44"/>
      <c r="X54" s="47"/>
      <c r="Y54" s="47"/>
      <c r="Z54" s="47"/>
      <c r="AA54" s="47"/>
    </row>
    <row r="55" spans="1:27" x14ac:dyDescent="0.35">
      <c r="A55" s="47">
        <v>19</v>
      </c>
      <c r="B55" s="47">
        <v>67007060</v>
      </c>
      <c r="C55" s="39">
        <v>105672028236800</v>
      </c>
      <c r="D55" s="49">
        <v>46219</v>
      </c>
      <c r="E55" s="49" t="s">
        <v>67</v>
      </c>
      <c r="F55" s="49">
        <v>46216</v>
      </c>
      <c r="G55" s="49">
        <v>46245</v>
      </c>
      <c r="H55" s="47">
        <v>30</v>
      </c>
      <c r="I55" s="47">
        <v>174</v>
      </c>
      <c r="J55" s="47" t="s">
        <v>91</v>
      </c>
      <c r="K55" s="47" t="s">
        <v>93</v>
      </c>
      <c r="L55" s="47" t="s">
        <v>93</v>
      </c>
      <c r="M55" s="50" t="s">
        <v>70</v>
      </c>
      <c r="N55" s="49">
        <v>46072</v>
      </c>
      <c r="O55" s="49">
        <v>46431</v>
      </c>
      <c r="P55" s="51">
        <v>1750905</v>
      </c>
      <c r="Q55" s="49">
        <v>46224</v>
      </c>
      <c r="R55" s="49" t="s">
        <v>45</v>
      </c>
      <c r="S55" s="47" t="s">
        <v>46</v>
      </c>
      <c r="T55" s="49"/>
      <c r="U55" s="47"/>
      <c r="V55" s="47"/>
      <c r="W55" s="44"/>
      <c r="X55" s="47"/>
      <c r="Y55" s="47"/>
      <c r="Z55" s="47"/>
      <c r="AA55" s="47"/>
    </row>
    <row r="56" spans="1:27" x14ac:dyDescent="0.35">
      <c r="A56" s="47">
        <v>7</v>
      </c>
      <c r="B56" s="47">
        <v>70662157</v>
      </c>
      <c r="C56" s="39">
        <v>102222026959200</v>
      </c>
      <c r="D56" s="49">
        <v>46219</v>
      </c>
      <c r="E56" s="49" t="s">
        <v>67</v>
      </c>
      <c r="F56" s="49">
        <v>46198</v>
      </c>
      <c r="G56" s="49">
        <v>46227</v>
      </c>
      <c r="H56" s="47">
        <v>30</v>
      </c>
      <c r="I56" s="47">
        <v>252</v>
      </c>
      <c r="J56" s="47" t="s">
        <v>125</v>
      </c>
      <c r="K56" s="47" t="s">
        <v>78</v>
      </c>
      <c r="L56" s="47" t="s">
        <v>78</v>
      </c>
      <c r="M56" s="50" t="s">
        <v>70</v>
      </c>
      <c r="N56" s="49">
        <v>45973</v>
      </c>
      <c r="O56" s="49">
        <v>46332</v>
      </c>
      <c r="P56" s="51">
        <v>1750905</v>
      </c>
      <c r="Q56" s="49">
        <v>46224</v>
      </c>
      <c r="R56" s="49" t="s">
        <v>45</v>
      </c>
      <c r="S56" s="47" t="s">
        <v>46</v>
      </c>
      <c r="T56" s="49"/>
      <c r="U56" s="47"/>
      <c r="V56" s="47"/>
      <c r="W56" s="44"/>
      <c r="X56" s="47"/>
      <c r="Y56" s="47"/>
      <c r="Z56" s="47"/>
      <c r="AA56" s="47"/>
    </row>
    <row r="57" spans="1:27" x14ac:dyDescent="0.35">
      <c r="A57" s="47">
        <v>156</v>
      </c>
      <c r="B57" s="47">
        <v>71352969</v>
      </c>
      <c r="C57" s="39">
        <v>102622011647900</v>
      </c>
      <c r="D57" s="49">
        <v>46218</v>
      </c>
      <c r="E57" s="49" t="s">
        <v>67</v>
      </c>
      <c r="F57" s="49">
        <v>46218</v>
      </c>
      <c r="G57" s="49">
        <v>46232</v>
      </c>
      <c r="H57" s="47">
        <v>15</v>
      </c>
      <c r="I57" s="47">
        <v>150</v>
      </c>
      <c r="J57" s="47" t="s">
        <v>102</v>
      </c>
      <c r="K57" s="47">
        <v>1750914</v>
      </c>
      <c r="L57" s="47">
        <v>1750914</v>
      </c>
      <c r="M57" s="50">
        <v>30</v>
      </c>
      <c r="N57" s="49">
        <v>46083</v>
      </c>
      <c r="O57" s="49">
        <v>46442</v>
      </c>
      <c r="P57" s="51">
        <v>875453</v>
      </c>
      <c r="Q57" s="49">
        <v>46224</v>
      </c>
      <c r="R57" s="49" t="s">
        <v>45</v>
      </c>
      <c r="S57" s="47" t="s">
        <v>46</v>
      </c>
      <c r="T57" s="49"/>
      <c r="U57" s="47"/>
      <c r="V57" s="47"/>
      <c r="W57" s="44"/>
      <c r="X57" s="47"/>
      <c r="Y57" s="47"/>
      <c r="Z57" s="47"/>
      <c r="AA57" s="47"/>
    </row>
    <row r="58" spans="1:27" x14ac:dyDescent="0.35">
      <c r="A58" s="47">
        <v>98</v>
      </c>
      <c r="B58" s="47">
        <v>71770400</v>
      </c>
      <c r="C58" s="39">
        <v>102222026958000</v>
      </c>
      <c r="D58" s="49">
        <v>46219</v>
      </c>
      <c r="E58" s="49" t="s">
        <v>67</v>
      </c>
      <c r="F58" s="49">
        <v>46202</v>
      </c>
      <c r="G58" s="49">
        <v>46231</v>
      </c>
      <c r="H58" s="47">
        <v>30</v>
      </c>
      <c r="I58" s="47">
        <v>223</v>
      </c>
      <c r="J58" s="47" t="s">
        <v>79</v>
      </c>
      <c r="K58" s="47" t="s">
        <v>78</v>
      </c>
      <c r="L58" s="47" t="s">
        <v>78</v>
      </c>
      <c r="M58" s="50" t="s">
        <v>70</v>
      </c>
      <c r="N58" s="49">
        <v>46009</v>
      </c>
      <c r="O58" s="49">
        <v>46368</v>
      </c>
      <c r="P58" s="51">
        <v>1750905</v>
      </c>
      <c r="Q58" s="49">
        <v>46224</v>
      </c>
      <c r="R58" s="49" t="s">
        <v>45</v>
      </c>
      <c r="S58" s="47" t="s">
        <v>46</v>
      </c>
      <c r="T58" s="49"/>
      <c r="U58" s="47"/>
      <c r="V58" s="47"/>
      <c r="W58" s="44"/>
      <c r="X58" s="47"/>
      <c r="Y58" s="47"/>
      <c r="Z58" s="47"/>
      <c r="AA58" s="47"/>
    </row>
    <row r="59" spans="1:27" x14ac:dyDescent="0.35">
      <c r="A59" s="47">
        <v>152</v>
      </c>
      <c r="B59" s="47">
        <v>71975412</v>
      </c>
      <c r="C59" s="39">
        <v>102622011639200</v>
      </c>
      <c r="D59" s="49">
        <v>46218</v>
      </c>
      <c r="E59" s="49" t="s">
        <v>67</v>
      </c>
      <c r="F59" s="49">
        <v>46217</v>
      </c>
      <c r="G59" s="49">
        <v>46231</v>
      </c>
      <c r="H59" s="47">
        <v>15</v>
      </c>
      <c r="I59" s="47">
        <v>353</v>
      </c>
      <c r="J59" s="47" t="s">
        <v>126</v>
      </c>
      <c r="K59" s="47">
        <v>1750905</v>
      </c>
      <c r="L59" s="47">
        <v>1750905</v>
      </c>
      <c r="M59" s="50">
        <v>30</v>
      </c>
      <c r="N59" s="49">
        <v>45878</v>
      </c>
      <c r="O59" s="49">
        <v>46237</v>
      </c>
      <c r="P59" s="51">
        <v>875453</v>
      </c>
      <c r="Q59" s="49">
        <v>46224</v>
      </c>
      <c r="R59" s="49" t="s">
        <v>45</v>
      </c>
      <c r="S59" s="47" t="s">
        <v>46</v>
      </c>
      <c r="T59" s="49"/>
      <c r="U59" s="47"/>
      <c r="V59" s="47"/>
      <c r="W59" s="44"/>
      <c r="X59" s="47"/>
      <c r="Y59" s="47"/>
      <c r="Z59" s="47"/>
      <c r="AA59" s="47"/>
    </row>
    <row r="60" spans="1:27" x14ac:dyDescent="0.35">
      <c r="A60" s="47">
        <v>154</v>
      </c>
      <c r="B60" s="47">
        <v>71986299</v>
      </c>
      <c r="C60" s="39">
        <v>102622011656100</v>
      </c>
      <c r="D60" s="49">
        <v>46218</v>
      </c>
      <c r="E60" s="52" t="s">
        <v>24</v>
      </c>
      <c r="F60" s="52">
        <v>46137</v>
      </c>
      <c r="G60" s="52">
        <v>46181</v>
      </c>
      <c r="H60" s="47">
        <v>45</v>
      </c>
      <c r="I60" s="47">
        <v>45</v>
      </c>
      <c r="J60" s="47" t="s">
        <v>127</v>
      </c>
      <c r="K60" s="47" t="s">
        <v>128</v>
      </c>
      <c r="L60" s="47" t="s">
        <v>128</v>
      </c>
      <c r="M60" s="50" t="s">
        <v>76</v>
      </c>
      <c r="N60" s="49">
        <v>46137</v>
      </c>
      <c r="O60" s="49">
        <v>46496</v>
      </c>
      <c r="P60" s="51">
        <v>2626358</v>
      </c>
      <c r="Q60" s="49">
        <v>46224</v>
      </c>
      <c r="R60" s="49" t="s">
        <v>45</v>
      </c>
      <c r="S60" s="47" t="s">
        <v>46</v>
      </c>
      <c r="T60" s="49"/>
      <c r="U60" s="47"/>
      <c r="V60" s="47"/>
      <c r="W60" s="44"/>
      <c r="X60" s="47"/>
      <c r="Y60" s="47"/>
      <c r="Z60" s="47"/>
      <c r="AA60" s="47"/>
    </row>
    <row r="61" spans="1:27" x14ac:dyDescent="0.35">
      <c r="A61" s="47">
        <v>26</v>
      </c>
      <c r="B61" s="47">
        <v>72174142</v>
      </c>
      <c r="C61" s="39">
        <v>104707041292800</v>
      </c>
      <c r="D61" s="49">
        <v>46219</v>
      </c>
      <c r="E61" s="49" t="s">
        <v>67</v>
      </c>
      <c r="F61" s="49">
        <v>46214</v>
      </c>
      <c r="G61" s="49">
        <v>46243</v>
      </c>
      <c r="H61" s="47">
        <v>30</v>
      </c>
      <c r="I61" s="47">
        <v>126</v>
      </c>
      <c r="J61" s="47" t="s">
        <v>129</v>
      </c>
      <c r="K61" s="47" t="s">
        <v>78</v>
      </c>
      <c r="L61" s="47" t="s">
        <v>78</v>
      </c>
      <c r="M61" s="50" t="s">
        <v>70</v>
      </c>
      <c r="N61" s="49">
        <v>46118</v>
      </c>
      <c r="O61" s="49">
        <v>46477</v>
      </c>
      <c r="P61" s="51">
        <v>1750905</v>
      </c>
      <c r="Q61" s="49">
        <v>46224</v>
      </c>
      <c r="R61" s="49" t="s">
        <v>45</v>
      </c>
      <c r="S61" s="47" t="s">
        <v>46</v>
      </c>
      <c r="T61" s="49"/>
      <c r="U61" s="47"/>
      <c r="V61" s="47"/>
      <c r="W61" s="44"/>
      <c r="X61" s="47"/>
      <c r="Y61" s="47"/>
      <c r="Z61" s="47"/>
      <c r="AA61" s="47"/>
    </row>
    <row r="62" spans="1:27" x14ac:dyDescent="0.35">
      <c r="A62" s="47">
        <v>58</v>
      </c>
      <c r="B62" s="47">
        <v>73154023</v>
      </c>
      <c r="C62" s="39">
        <v>104736034075700</v>
      </c>
      <c r="D62" s="49">
        <v>46219</v>
      </c>
      <c r="E62" s="49" t="s">
        <v>109</v>
      </c>
      <c r="F62" s="49">
        <v>46219</v>
      </c>
      <c r="G62" s="49">
        <v>46233</v>
      </c>
      <c r="H62" s="47">
        <v>15</v>
      </c>
      <c r="I62" s="47">
        <v>1834</v>
      </c>
      <c r="J62" s="47" t="s">
        <v>105</v>
      </c>
      <c r="K62" s="47">
        <v>1750905</v>
      </c>
      <c r="L62" s="47">
        <v>1750905</v>
      </c>
      <c r="M62" s="50">
        <v>30</v>
      </c>
      <c r="N62" s="49">
        <v>44335</v>
      </c>
      <c r="O62" s="49"/>
      <c r="P62" s="51">
        <v>875453</v>
      </c>
      <c r="Q62" s="49">
        <v>46224</v>
      </c>
      <c r="R62" s="49" t="s">
        <v>45</v>
      </c>
      <c r="S62" s="47" t="s">
        <v>46</v>
      </c>
      <c r="T62" s="49"/>
      <c r="U62" s="47"/>
      <c r="V62" s="47"/>
      <c r="W62" s="44" t="s">
        <v>130</v>
      </c>
      <c r="X62" s="47"/>
      <c r="Y62" s="47"/>
      <c r="Z62" s="47"/>
      <c r="AA62" s="47"/>
    </row>
    <row r="63" spans="1:27" x14ac:dyDescent="0.35">
      <c r="A63" s="47">
        <v>59</v>
      </c>
      <c r="B63" s="47">
        <v>73202884</v>
      </c>
      <c r="C63" s="39">
        <v>104736034053500</v>
      </c>
      <c r="D63" s="49">
        <v>46219</v>
      </c>
      <c r="E63" s="49" t="s">
        <v>67</v>
      </c>
      <c r="F63" s="49">
        <v>46219</v>
      </c>
      <c r="G63" s="49">
        <v>46228</v>
      </c>
      <c r="H63" s="47">
        <v>10</v>
      </c>
      <c r="I63" s="47">
        <v>193</v>
      </c>
      <c r="J63" s="47" t="s">
        <v>131</v>
      </c>
      <c r="K63" s="47">
        <v>1750905</v>
      </c>
      <c r="L63" s="47">
        <v>1750905</v>
      </c>
      <c r="M63" s="50">
        <v>30</v>
      </c>
      <c r="N63" s="49">
        <v>46032</v>
      </c>
      <c r="O63" s="49">
        <v>46391</v>
      </c>
      <c r="P63" s="51">
        <v>583635</v>
      </c>
      <c r="Q63" s="49">
        <v>46224</v>
      </c>
      <c r="R63" s="49" t="s">
        <v>45</v>
      </c>
      <c r="S63" s="47" t="s">
        <v>46</v>
      </c>
      <c r="T63" s="49"/>
      <c r="U63" s="47"/>
      <c r="V63" s="47"/>
      <c r="W63" s="44"/>
      <c r="X63" s="47"/>
      <c r="Y63" s="47"/>
      <c r="Z63" s="47"/>
      <c r="AA63" s="47"/>
    </row>
    <row r="64" spans="1:27" x14ac:dyDescent="0.35">
      <c r="A64" s="47">
        <v>110</v>
      </c>
      <c r="B64" s="47">
        <v>74181234</v>
      </c>
      <c r="C64" s="39">
        <v>4107413226976600</v>
      </c>
      <c r="D64" s="49">
        <v>46218</v>
      </c>
      <c r="E64" s="49" t="s">
        <v>67</v>
      </c>
      <c r="F64" s="49">
        <v>46213</v>
      </c>
      <c r="G64" s="49">
        <v>46226</v>
      </c>
      <c r="H64" s="47">
        <v>14</v>
      </c>
      <c r="I64" s="47">
        <v>82</v>
      </c>
      <c r="J64" s="47" t="s">
        <v>105</v>
      </c>
      <c r="K64" s="47">
        <v>1767038</v>
      </c>
      <c r="L64" s="47">
        <v>1767038</v>
      </c>
      <c r="M64" s="50">
        <v>30</v>
      </c>
      <c r="N64" s="49">
        <v>46145</v>
      </c>
      <c r="O64" s="49">
        <v>46504</v>
      </c>
      <c r="P64" s="51">
        <v>817089</v>
      </c>
      <c r="Q64" s="49">
        <v>46224</v>
      </c>
      <c r="R64" s="49" t="s">
        <v>45</v>
      </c>
      <c r="S64" s="47" t="s">
        <v>46</v>
      </c>
      <c r="T64" s="49"/>
      <c r="U64" s="47"/>
      <c r="V64" s="47"/>
      <c r="W64" s="44"/>
      <c r="X64" s="47"/>
      <c r="Y64" s="47"/>
      <c r="Z64" s="47"/>
      <c r="AA64" s="47"/>
    </row>
    <row r="65" spans="1:27" x14ac:dyDescent="0.35">
      <c r="A65" s="47">
        <v>186</v>
      </c>
      <c r="B65" s="47">
        <v>77016072</v>
      </c>
      <c r="C65" s="39">
        <v>104786016770200</v>
      </c>
      <c r="D65" s="49">
        <v>46213</v>
      </c>
      <c r="E65" s="49" t="s">
        <v>67</v>
      </c>
      <c r="F65" s="49">
        <v>46195</v>
      </c>
      <c r="G65" s="49">
        <v>46224</v>
      </c>
      <c r="H65" s="47">
        <v>30</v>
      </c>
      <c r="I65" s="47">
        <v>235</v>
      </c>
      <c r="J65" s="47" t="s">
        <v>88</v>
      </c>
      <c r="K65" s="47" t="s">
        <v>78</v>
      </c>
      <c r="L65" s="47" t="s">
        <v>78</v>
      </c>
      <c r="M65" s="50" t="s">
        <v>70</v>
      </c>
      <c r="N65" s="49">
        <v>45985</v>
      </c>
      <c r="O65" s="49">
        <v>46344</v>
      </c>
      <c r="P65" s="51">
        <v>1750905</v>
      </c>
      <c r="Q65" s="49">
        <v>46224</v>
      </c>
      <c r="R65" s="49" t="s">
        <v>45</v>
      </c>
      <c r="S65" s="47" t="s">
        <v>46</v>
      </c>
      <c r="T65" s="49"/>
      <c r="U65" s="47"/>
      <c r="V65" s="47"/>
      <c r="W65" s="44"/>
      <c r="X65" s="47"/>
      <c r="Y65" s="47"/>
      <c r="Z65" s="47"/>
      <c r="AA65" s="47"/>
    </row>
    <row r="66" spans="1:27" x14ac:dyDescent="0.35">
      <c r="A66" s="47">
        <v>157</v>
      </c>
      <c r="B66" s="47">
        <v>77104700</v>
      </c>
      <c r="C66" s="39">
        <v>104786016758900</v>
      </c>
      <c r="D66" s="49">
        <v>46218</v>
      </c>
      <c r="E66" s="49" t="s">
        <v>67</v>
      </c>
      <c r="F66" s="49">
        <v>46198</v>
      </c>
      <c r="G66" s="49">
        <v>46226</v>
      </c>
      <c r="H66" s="47">
        <v>29</v>
      </c>
      <c r="I66" s="47">
        <v>198</v>
      </c>
      <c r="J66" s="47" t="s">
        <v>132</v>
      </c>
      <c r="K66" s="47" t="s">
        <v>78</v>
      </c>
      <c r="L66" s="47" t="s">
        <v>78</v>
      </c>
      <c r="M66" s="50" t="s">
        <v>70</v>
      </c>
      <c r="N66" s="49">
        <v>46027</v>
      </c>
      <c r="O66" s="49">
        <v>46386</v>
      </c>
      <c r="P66" s="51">
        <v>1692542</v>
      </c>
      <c r="Q66" s="49">
        <v>46224</v>
      </c>
      <c r="R66" s="49" t="s">
        <v>45</v>
      </c>
      <c r="S66" s="47" t="s">
        <v>46</v>
      </c>
      <c r="T66" s="49"/>
      <c r="U66" s="47"/>
      <c r="V66" s="47"/>
      <c r="W66" s="44"/>
      <c r="X66" s="47"/>
      <c r="Y66" s="47"/>
      <c r="Z66" s="47"/>
      <c r="AA66" s="47"/>
    </row>
    <row r="67" spans="1:27" x14ac:dyDescent="0.35">
      <c r="A67" s="47">
        <v>173</v>
      </c>
      <c r="B67" s="47">
        <v>79165400</v>
      </c>
      <c r="C67" s="39">
        <v>190152015128700</v>
      </c>
      <c r="D67" s="49">
        <v>46218</v>
      </c>
      <c r="E67" s="49" t="s">
        <v>109</v>
      </c>
      <c r="F67" s="49">
        <v>46212</v>
      </c>
      <c r="G67" s="49">
        <v>46241</v>
      </c>
      <c r="H67" s="47">
        <v>30</v>
      </c>
      <c r="I67" s="47">
        <v>212</v>
      </c>
      <c r="J67" s="47" t="s">
        <v>232</v>
      </c>
      <c r="K67" s="47" t="s">
        <v>78</v>
      </c>
      <c r="L67" s="47" t="s">
        <v>78</v>
      </c>
      <c r="M67" s="50" t="s">
        <v>66</v>
      </c>
      <c r="N67" s="49">
        <v>46030</v>
      </c>
      <c r="O67" s="49">
        <v>46389</v>
      </c>
      <c r="P67" s="51">
        <v>1750905</v>
      </c>
      <c r="Q67" s="49">
        <v>46224</v>
      </c>
      <c r="R67" s="49" t="s">
        <v>45</v>
      </c>
      <c r="S67" s="47" t="s">
        <v>46</v>
      </c>
      <c r="T67" s="49"/>
      <c r="U67" s="47"/>
      <c r="V67" s="47"/>
      <c r="W67" s="44"/>
      <c r="X67" s="47"/>
      <c r="Y67" s="47"/>
      <c r="Z67" s="47"/>
      <c r="AA67" s="47"/>
    </row>
    <row r="68" spans="1:27" x14ac:dyDescent="0.35">
      <c r="A68" s="47">
        <v>149</v>
      </c>
      <c r="B68" s="47">
        <v>79388106</v>
      </c>
      <c r="C68" s="39">
        <v>4107413227109500</v>
      </c>
      <c r="D68" s="49">
        <v>46218</v>
      </c>
      <c r="E68" s="49" t="s">
        <v>67</v>
      </c>
      <c r="F68" s="49">
        <v>46203</v>
      </c>
      <c r="G68" s="49">
        <v>46232</v>
      </c>
      <c r="H68" s="47">
        <v>30</v>
      </c>
      <c r="I68" s="47">
        <v>120</v>
      </c>
      <c r="J68" s="47" t="s">
        <v>105</v>
      </c>
      <c r="K68" s="47" t="s">
        <v>93</v>
      </c>
      <c r="L68" s="47" t="s">
        <v>93</v>
      </c>
      <c r="M68" s="50" t="s">
        <v>70</v>
      </c>
      <c r="N68" s="49">
        <v>46113</v>
      </c>
      <c r="O68" s="49">
        <v>46472</v>
      </c>
      <c r="P68" s="51">
        <v>1750905</v>
      </c>
      <c r="Q68" s="49">
        <v>46224</v>
      </c>
      <c r="R68" s="49" t="s">
        <v>45</v>
      </c>
      <c r="S68" s="47" t="s">
        <v>46</v>
      </c>
      <c r="T68" s="49"/>
      <c r="U68" s="47"/>
      <c r="V68" s="47"/>
      <c r="W68" s="44"/>
      <c r="X68" s="47"/>
      <c r="Y68" s="47"/>
      <c r="Z68" s="47"/>
      <c r="AA68" s="47"/>
    </row>
    <row r="69" spans="1:27" x14ac:dyDescent="0.35">
      <c r="A69" s="47">
        <v>86</v>
      </c>
      <c r="B69" s="47">
        <v>79725381</v>
      </c>
      <c r="C69" s="39">
        <v>105670020334400</v>
      </c>
      <c r="D69" s="49">
        <v>46219</v>
      </c>
      <c r="E69" s="49" t="s">
        <v>67</v>
      </c>
      <c r="F69" s="49">
        <v>46202</v>
      </c>
      <c r="G69" s="49">
        <v>46243</v>
      </c>
      <c r="H69" s="47">
        <v>42</v>
      </c>
      <c r="I69" s="47">
        <v>189</v>
      </c>
      <c r="J69" s="47" t="s">
        <v>185</v>
      </c>
      <c r="K69" s="47" t="s">
        <v>133</v>
      </c>
      <c r="L69" s="47" t="s">
        <v>133</v>
      </c>
      <c r="M69" s="50" t="s">
        <v>76</v>
      </c>
      <c r="N69" s="49">
        <v>46054</v>
      </c>
      <c r="O69" s="49">
        <v>46413</v>
      </c>
      <c r="P69" s="51">
        <v>2451267</v>
      </c>
      <c r="Q69" s="49">
        <v>46224</v>
      </c>
      <c r="R69" s="49" t="s">
        <v>45</v>
      </c>
      <c r="S69" s="47" t="s">
        <v>46</v>
      </c>
      <c r="T69" s="49"/>
      <c r="U69" s="47"/>
      <c r="V69" s="47"/>
      <c r="W69" s="44"/>
      <c r="X69" s="47"/>
      <c r="Y69" s="47"/>
      <c r="Z69" s="47"/>
      <c r="AA69" s="47"/>
    </row>
    <row r="70" spans="1:27" x14ac:dyDescent="0.35">
      <c r="A70" s="47">
        <v>144</v>
      </c>
      <c r="B70" s="47">
        <v>79953908</v>
      </c>
      <c r="C70" s="39">
        <v>4107413227128200</v>
      </c>
      <c r="D70" s="49">
        <v>46218</v>
      </c>
      <c r="E70" s="49" t="s">
        <v>67</v>
      </c>
      <c r="F70" s="49">
        <v>46177</v>
      </c>
      <c r="G70" s="49">
        <v>46206</v>
      </c>
      <c r="H70" s="47">
        <v>30</v>
      </c>
      <c r="I70" s="47">
        <v>214</v>
      </c>
      <c r="J70" s="47" t="s">
        <v>134</v>
      </c>
      <c r="K70" s="47" t="s">
        <v>135</v>
      </c>
      <c r="L70" s="47" t="s">
        <v>135</v>
      </c>
      <c r="M70" s="50" t="s">
        <v>70</v>
      </c>
      <c r="N70" s="49">
        <v>45993</v>
      </c>
      <c r="O70" s="49">
        <v>46352</v>
      </c>
      <c r="P70" s="51">
        <v>1750905</v>
      </c>
      <c r="Q70" s="49">
        <v>46224</v>
      </c>
      <c r="R70" s="49" t="s">
        <v>45</v>
      </c>
      <c r="S70" s="47" t="s">
        <v>46</v>
      </c>
      <c r="T70" s="49"/>
      <c r="U70" s="47"/>
      <c r="V70" s="47"/>
      <c r="W70" s="44"/>
      <c r="X70" s="47"/>
      <c r="Y70" s="47"/>
      <c r="Z70" s="47"/>
      <c r="AA70" s="47"/>
    </row>
    <row r="71" spans="1:27" x14ac:dyDescent="0.35">
      <c r="A71" s="47">
        <v>141</v>
      </c>
      <c r="B71" s="47">
        <v>80069179</v>
      </c>
      <c r="C71" s="39">
        <v>4107413227131400</v>
      </c>
      <c r="D71" s="49">
        <v>46218</v>
      </c>
      <c r="E71" s="49" t="s">
        <v>67</v>
      </c>
      <c r="F71" s="49">
        <v>46205</v>
      </c>
      <c r="G71" s="49">
        <v>46234</v>
      </c>
      <c r="H71" s="47">
        <v>30</v>
      </c>
      <c r="I71" s="47">
        <v>194</v>
      </c>
      <c r="J71" s="47" t="s">
        <v>136</v>
      </c>
      <c r="K71" s="47">
        <v>1751091</v>
      </c>
      <c r="L71" s="47">
        <v>1751091</v>
      </c>
      <c r="M71" s="50">
        <v>30</v>
      </c>
      <c r="N71" s="49">
        <v>46041</v>
      </c>
      <c r="O71" s="49">
        <v>46400</v>
      </c>
      <c r="P71" s="51">
        <v>1750905</v>
      </c>
      <c r="Q71" s="49">
        <v>46224</v>
      </c>
      <c r="R71" s="49" t="s">
        <v>45</v>
      </c>
      <c r="S71" s="47" t="s">
        <v>46</v>
      </c>
      <c r="T71" s="49"/>
      <c r="U71" s="47"/>
      <c r="V71" s="47"/>
      <c r="W71" s="44"/>
      <c r="X71" s="47"/>
      <c r="Y71" s="47"/>
      <c r="Z71" s="47"/>
      <c r="AA71" s="47"/>
    </row>
    <row r="72" spans="1:27" x14ac:dyDescent="0.35">
      <c r="A72" s="47">
        <v>139</v>
      </c>
      <c r="B72" s="47">
        <v>80807038</v>
      </c>
      <c r="C72" s="39">
        <v>4107413227138000</v>
      </c>
      <c r="D72" s="49">
        <v>46218</v>
      </c>
      <c r="E72" s="49" t="s">
        <v>67</v>
      </c>
      <c r="F72" s="49">
        <v>46212</v>
      </c>
      <c r="G72" s="49">
        <v>46241</v>
      </c>
      <c r="H72" s="47">
        <v>30</v>
      </c>
      <c r="I72" s="47">
        <v>280</v>
      </c>
      <c r="J72" s="47" t="s">
        <v>238</v>
      </c>
      <c r="K72" s="47" t="s">
        <v>78</v>
      </c>
      <c r="L72" s="47" t="s">
        <v>78</v>
      </c>
      <c r="M72" s="50" t="s">
        <v>70</v>
      </c>
      <c r="N72" s="49">
        <v>45962</v>
      </c>
      <c r="O72" s="49">
        <v>46321</v>
      </c>
      <c r="P72" s="51">
        <v>1750905</v>
      </c>
      <c r="Q72" s="49">
        <v>46224</v>
      </c>
      <c r="R72" s="49" t="s">
        <v>45</v>
      </c>
      <c r="S72" s="47" t="s">
        <v>46</v>
      </c>
      <c r="T72" s="49"/>
      <c r="U72" s="47"/>
      <c r="V72" s="47"/>
      <c r="W72" s="44"/>
      <c r="X72" s="47"/>
      <c r="Y72" s="47"/>
      <c r="Z72" s="47"/>
      <c r="AA72" s="47"/>
    </row>
    <row r="73" spans="1:27" x14ac:dyDescent="0.35">
      <c r="A73" s="47">
        <v>29</v>
      </c>
      <c r="B73" s="47">
        <v>85474393</v>
      </c>
      <c r="C73" s="39">
        <v>104782020480200</v>
      </c>
      <c r="D73" s="49">
        <v>46219</v>
      </c>
      <c r="E73" s="49" t="s">
        <v>67</v>
      </c>
      <c r="F73" s="49">
        <v>46192</v>
      </c>
      <c r="G73" s="49">
        <v>46206</v>
      </c>
      <c r="H73" s="47">
        <v>15</v>
      </c>
      <c r="I73" s="47">
        <v>70</v>
      </c>
      <c r="J73" s="47" t="s">
        <v>113</v>
      </c>
      <c r="K73" s="47" t="s">
        <v>93</v>
      </c>
      <c r="L73" s="47" t="s">
        <v>93</v>
      </c>
      <c r="M73" s="50" t="s">
        <v>70</v>
      </c>
      <c r="N73" s="49">
        <v>46107</v>
      </c>
      <c r="O73" s="49">
        <v>46466</v>
      </c>
      <c r="P73" s="51">
        <v>875453</v>
      </c>
      <c r="Q73" s="49">
        <v>46224</v>
      </c>
      <c r="R73" s="49" t="s">
        <v>45</v>
      </c>
      <c r="S73" s="47" t="s">
        <v>46</v>
      </c>
      <c r="T73" s="49"/>
      <c r="U73" s="47"/>
      <c r="V73" s="47"/>
      <c r="W73" s="44"/>
      <c r="X73" s="47"/>
      <c r="Y73" s="47"/>
      <c r="Z73" s="47"/>
      <c r="AA73" s="47"/>
    </row>
    <row r="74" spans="1:27" x14ac:dyDescent="0.35">
      <c r="A74" s="47">
        <v>127</v>
      </c>
      <c r="B74" s="47">
        <v>86079120</v>
      </c>
      <c r="C74" s="39">
        <v>4107413226983500</v>
      </c>
      <c r="D74" s="49">
        <v>46218</v>
      </c>
      <c r="E74" s="49" t="s">
        <v>67</v>
      </c>
      <c r="F74" s="49">
        <v>46179</v>
      </c>
      <c r="G74" s="49">
        <v>46208</v>
      </c>
      <c r="H74" s="47">
        <v>30</v>
      </c>
      <c r="I74" s="47">
        <v>140</v>
      </c>
      <c r="J74" s="47" t="s">
        <v>233</v>
      </c>
      <c r="K74" s="47" t="s">
        <v>78</v>
      </c>
      <c r="L74" s="47" t="s">
        <v>78</v>
      </c>
      <c r="M74" s="50" t="s">
        <v>70</v>
      </c>
      <c r="N74" s="49">
        <v>46069</v>
      </c>
      <c r="O74" s="49">
        <v>46428</v>
      </c>
      <c r="P74" s="51">
        <v>1750905</v>
      </c>
      <c r="Q74" s="49">
        <v>46224</v>
      </c>
      <c r="R74" s="49" t="s">
        <v>45</v>
      </c>
      <c r="S74" s="47" t="s">
        <v>46</v>
      </c>
      <c r="T74" s="49"/>
      <c r="U74" s="47"/>
      <c r="V74" s="47"/>
      <c r="W74" s="44"/>
      <c r="X74" s="47"/>
      <c r="Y74" s="47"/>
      <c r="Z74" s="47"/>
      <c r="AA74" s="47"/>
    </row>
    <row r="75" spans="1:27" x14ac:dyDescent="0.35">
      <c r="A75" s="47">
        <v>55</v>
      </c>
      <c r="B75" s="47">
        <v>91266182</v>
      </c>
      <c r="C75" s="39">
        <v>106328010729900</v>
      </c>
      <c r="D75" s="49">
        <v>46219</v>
      </c>
      <c r="E75" s="49" t="s">
        <v>67</v>
      </c>
      <c r="F75" s="49">
        <v>46212</v>
      </c>
      <c r="G75" s="49">
        <v>46241</v>
      </c>
      <c r="H75" s="47">
        <v>30</v>
      </c>
      <c r="I75" s="47">
        <v>115</v>
      </c>
      <c r="J75" s="47" t="s">
        <v>77</v>
      </c>
      <c r="K75" s="47" t="s">
        <v>78</v>
      </c>
      <c r="L75" s="47" t="s">
        <v>78</v>
      </c>
      <c r="M75" s="50" t="s">
        <v>70</v>
      </c>
      <c r="N75" s="49">
        <v>46122</v>
      </c>
      <c r="O75" s="49">
        <v>46481</v>
      </c>
      <c r="P75" s="51">
        <v>1750905</v>
      </c>
      <c r="Q75" s="49">
        <v>46224</v>
      </c>
      <c r="R75" s="49" t="s">
        <v>45</v>
      </c>
      <c r="S75" s="47" t="s">
        <v>46</v>
      </c>
      <c r="T75" s="49"/>
      <c r="U75" s="47"/>
      <c r="V75" s="47"/>
      <c r="W75" s="44"/>
      <c r="X75" s="47"/>
      <c r="Y75" s="47"/>
      <c r="Z75" s="47"/>
      <c r="AA75" s="47"/>
    </row>
    <row r="76" spans="1:27" x14ac:dyDescent="0.35">
      <c r="A76" s="47">
        <v>60</v>
      </c>
      <c r="B76" s="47">
        <v>91432809</v>
      </c>
      <c r="C76" s="39">
        <v>106323012154200</v>
      </c>
      <c r="D76" s="49">
        <v>46219</v>
      </c>
      <c r="E76" s="49" t="s">
        <v>67</v>
      </c>
      <c r="F76" s="49">
        <v>46217</v>
      </c>
      <c r="G76" s="49">
        <v>46246</v>
      </c>
      <c r="H76" s="47">
        <v>30</v>
      </c>
      <c r="I76" s="47">
        <v>121</v>
      </c>
      <c r="J76" s="47" t="s">
        <v>137</v>
      </c>
      <c r="K76" s="47" t="s">
        <v>78</v>
      </c>
      <c r="L76" s="47" t="s">
        <v>78</v>
      </c>
      <c r="M76" s="50" t="s">
        <v>70</v>
      </c>
      <c r="N76" s="49">
        <v>46126</v>
      </c>
      <c r="O76" s="49">
        <v>46485</v>
      </c>
      <c r="P76" s="51">
        <v>1750905</v>
      </c>
      <c r="Q76" s="49">
        <v>46224</v>
      </c>
      <c r="R76" s="49" t="s">
        <v>45</v>
      </c>
      <c r="S76" s="47" t="s">
        <v>46</v>
      </c>
      <c r="T76" s="49"/>
      <c r="U76" s="47"/>
      <c r="V76" s="47"/>
      <c r="W76" s="44"/>
      <c r="X76" s="47"/>
      <c r="Y76" s="47"/>
      <c r="Z76" s="47"/>
      <c r="AA76" s="47"/>
    </row>
    <row r="77" spans="1:27" x14ac:dyDescent="0.35">
      <c r="A77" s="47">
        <v>171</v>
      </c>
      <c r="B77" s="47">
        <v>94150476</v>
      </c>
      <c r="C77" s="39">
        <v>103872016725300</v>
      </c>
      <c r="D77" s="49">
        <v>46218</v>
      </c>
      <c r="E77" s="49" t="s">
        <v>67</v>
      </c>
      <c r="F77" s="49">
        <v>46217</v>
      </c>
      <c r="G77" s="49">
        <v>46226</v>
      </c>
      <c r="H77" s="47">
        <v>10</v>
      </c>
      <c r="I77" s="47">
        <v>180</v>
      </c>
      <c r="J77" s="47" t="s">
        <v>138</v>
      </c>
      <c r="K77" s="47">
        <v>1750906</v>
      </c>
      <c r="L77" s="47">
        <v>1750906</v>
      </c>
      <c r="M77" s="50">
        <v>30</v>
      </c>
      <c r="N77" s="49">
        <v>46043</v>
      </c>
      <c r="O77" s="49">
        <v>46402</v>
      </c>
      <c r="P77" s="51">
        <v>583635</v>
      </c>
      <c r="Q77" s="49">
        <v>46224</v>
      </c>
      <c r="R77" s="49" t="s">
        <v>45</v>
      </c>
      <c r="S77" s="47" t="s">
        <v>106</v>
      </c>
      <c r="T77" s="49"/>
      <c r="U77" s="47"/>
      <c r="V77" s="47"/>
      <c r="W77" s="44"/>
      <c r="X77" s="47"/>
      <c r="Y77" s="47"/>
      <c r="Z77" s="47"/>
      <c r="AA77" s="47"/>
    </row>
    <row r="78" spans="1:27" x14ac:dyDescent="0.35">
      <c r="A78" s="47">
        <v>101</v>
      </c>
      <c r="B78" s="47">
        <v>94252629</v>
      </c>
      <c r="C78" s="39">
        <v>103802053250800</v>
      </c>
      <c r="D78" s="49">
        <v>46219</v>
      </c>
      <c r="E78" s="49" t="s">
        <v>67</v>
      </c>
      <c r="F78" s="49">
        <v>46206</v>
      </c>
      <c r="G78" s="49">
        <v>46235</v>
      </c>
      <c r="H78" s="47">
        <v>30</v>
      </c>
      <c r="I78" s="47">
        <v>157</v>
      </c>
      <c r="J78" s="47" t="s">
        <v>89</v>
      </c>
      <c r="K78" s="47" t="s">
        <v>78</v>
      </c>
      <c r="L78" s="47" t="s">
        <v>78</v>
      </c>
      <c r="M78" s="50" t="s">
        <v>70</v>
      </c>
      <c r="N78" s="49">
        <v>46077</v>
      </c>
      <c r="O78" s="49">
        <v>46436</v>
      </c>
      <c r="P78" s="51">
        <v>1750905</v>
      </c>
      <c r="Q78" s="49">
        <v>46224</v>
      </c>
      <c r="R78" s="49" t="s">
        <v>45</v>
      </c>
      <c r="S78" s="47" t="s">
        <v>46</v>
      </c>
      <c r="T78" s="49"/>
      <c r="U78" s="47"/>
      <c r="V78" s="47"/>
      <c r="W78" s="44"/>
      <c r="X78" s="47"/>
      <c r="Y78" s="47"/>
      <c r="Z78" s="47"/>
      <c r="AA78" s="47"/>
    </row>
    <row r="79" spans="1:27" x14ac:dyDescent="0.35">
      <c r="A79" s="47">
        <v>70</v>
      </c>
      <c r="B79" s="47">
        <v>94301226</v>
      </c>
      <c r="C79" s="39">
        <v>103802053249700</v>
      </c>
      <c r="D79" s="49">
        <v>46219</v>
      </c>
      <c r="E79" s="49" t="s">
        <v>67</v>
      </c>
      <c r="F79" s="49">
        <v>46122</v>
      </c>
      <c r="G79" s="49">
        <v>46135</v>
      </c>
      <c r="H79" s="47">
        <v>14</v>
      </c>
      <c r="I79" s="47">
        <v>108</v>
      </c>
      <c r="J79" s="47" t="s">
        <v>139</v>
      </c>
      <c r="K79" s="47">
        <v>1750906</v>
      </c>
      <c r="L79" s="47">
        <v>1750906</v>
      </c>
      <c r="M79" s="50">
        <v>30</v>
      </c>
      <c r="N79" s="49">
        <v>46036</v>
      </c>
      <c r="O79" s="49">
        <v>46395</v>
      </c>
      <c r="P79" s="51">
        <v>817089</v>
      </c>
      <c r="Q79" s="49">
        <v>46224</v>
      </c>
      <c r="R79" s="49" t="s">
        <v>45</v>
      </c>
      <c r="S79" s="47" t="s">
        <v>46</v>
      </c>
      <c r="T79" s="49"/>
      <c r="U79" s="47"/>
      <c r="V79" s="47"/>
      <c r="W79" s="44"/>
      <c r="X79" s="47"/>
      <c r="Y79" s="47"/>
      <c r="Z79" s="47"/>
      <c r="AA79" s="47"/>
    </row>
    <row r="80" spans="1:27" x14ac:dyDescent="0.35">
      <c r="A80" s="47">
        <v>71</v>
      </c>
      <c r="B80" s="47">
        <v>94301226</v>
      </c>
      <c r="C80" s="39">
        <v>103802053249700</v>
      </c>
      <c r="D80" s="49">
        <v>46219</v>
      </c>
      <c r="E80" s="49" t="s">
        <v>67</v>
      </c>
      <c r="F80" s="49">
        <v>46193</v>
      </c>
      <c r="G80" s="49">
        <v>46234</v>
      </c>
      <c r="H80" s="47">
        <v>42</v>
      </c>
      <c r="I80" s="47">
        <v>150</v>
      </c>
      <c r="J80" s="47" t="s">
        <v>139</v>
      </c>
      <c r="K80" s="47" t="s">
        <v>78</v>
      </c>
      <c r="L80" s="47" t="s">
        <v>78</v>
      </c>
      <c r="M80" s="50" t="s">
        <v>70</v>
      </c>
      <c r="N80" s="49">
        <v>46036</v>
      </c>
      <c r="O80" s="49">
        <v>46395</v>
      </c>
      <c r="P80" s="51">
        <v>2451267</v>
      </c>
      <c r="Q80" s="49">
        <v>46224</v>
      </c>
      <c r="R80" s="49" t="s">
        <v>45</v>
      </c>
      <c r="S80" s="47" t="s">
        <v>46</v>
      </c>
      <c r="T80" s="49"/>
      <c r="U80" s="47"/>
      <c r="V80" s="47"/>
      <c r="W80" s="44"/>
      <c r="X80" s="47"/>
      <c r="Y80" s="47"/>
      <c r="Z80" s="47"/>
      <c r="AA80" s="47"/>
    </row>
    <row r="81" spans="1:27" x14ac:dyDescent="0.35">
      <c r="A81" s="47">
        <v>176</v>
      </c>
      <c r="B81" s="47">
        <v>94368425</v>
      </c>
      <c r="C81" s="39">
        <v>103872016724300</v>
      </c>
      <c r="D81" s="49">
        <v>46218</v>
      </c>
      <c r="E81" s="49" t="s">
        <v>67</v>
      </c>
      <c r="F81" s="49">
        <v>46214</v>
      </c>
      <c r="G81" s="49">
        <v>46227</v>
      </c>
      <c r="H81" s="47">
        <v>14</v>
      </c>
      <c r="I81" s="47">
        <v>307</v>
      </c>
      <c r="J81" s="47" t="s">
        <v>81</v>
      </c>
      <c r="K81" s="47">
        <v>1750905</v>
      </c>
      <c r="L81" s="47">
        <v>1750905</v>
      </c>
      <c r="M81" s="50">
        <v>30</v>
      </c>
      <c r="N81" s="49">
        <v>45921</v>
      </c>
      <c r="O81" s="49">
        <v>46280</v>
      </c>
      <c r="P81" s="51">
        <v>817089</v>
      </c>
      <c r="Q81" s="49">
        <v>46224</v>
      </c>
      <c r="R81" s="49" t="s">
        <v>45</v>
      </c>
      <c r="S81" s="47" t="s">
        <v>46</v>
      </c>
      <c r="T81" s="49"/>
      <c r="U81" s="47"/>
      <c r="V81" s="47"/>
      <c r="W81" s="44"/>
      <c r="X81" s="47"/>
      <c r="Y81" s="47"/>
      <c r="Z81" s="47"/>
      <c r="AA81" s="47"/>
    </row>
    <row r="82" spans="1:27" x14ac:dyDescent="0.35">
      <c r="A82" s="47">
        <v>105</v>
      </c>
      <c r="B82" s="47">
        <v>98495195</v>
      </c>
      <c r="C82" s="39">
        <v>102222026958900</v>
      </c>
      <c r="D82" s="49">
        <v>46219</v>
      </c>
      <c r="E82" s="49" t="s">
        <v>67</v>
      </c>
      <c r="F82" s="49">
        <v>46209</v>
      </c>
      <c r="G82" s="49">
        <v>46223</v>
      </c>
      <c r="H82" s="47">
        <v>15</v>
      </c>
      <c r="I82" s="47">
        <v>292</v>
      </c>
      <c r="J82" s="47" t="s">
        <v>140</v>
      </c>
      <c r="K82" s="47">
        <v>1750906</v>
      </c>
      <c r="L82" s="47">
        <v>1750906</v>
      </c>
      <c r="M82" s="50">
        <v>30</v>
      </c>
      <c r="N82" s="49">
        <v>45931</v>
      </c>
      <c r="O82" s="49">
        <v>46290</v>
      </c>
      <c r="P82" s="51">
        <v>875453</v>
      </c>
      <c r="Q82" s="49">
        <v>46224</v>
      </c>
      <c r="R82" s="49" t="s">
        <v>45</v>
      </c>
      <c r="S82" s="47" t="s">
        <v>46</v>
      </c>
      <c r="T82" s="49"/>
      <c r="U82" s="47"/>
      <c r="V82" s="47"/>
      <c r="W82" s="44"/>
      <c r="X82" s="47"/>
      <c r="Y82" s="47"/>
      <c r="Z82" s="47"/>
      <c r="AA82" s="47"/>
    </row>
    <row r="83" spans="1:27" x14ac:dyDescent="0.35">
      <c r="A83" s="47">
        <v>47</v>
      </c>
      <c r="B83" s="47">
        <v>1000047252</v>
      </c>
      <c r="C83" s="39">
        <v>4107413227129400</v>
      </c>
      <c r="D83" s="49">
        <v>46219</v>
      </c>
      <c r="E83" s="49" t="s">
        <v>67</v>
      </c>
      <c r="F83" s="49">
        <v>46217</v>
      </c>
      <c r="G83" s="49">
        <v>46223</v>
      </c>
      <c r="H83" s="47">
        <v>7</v>
      </c>
      <c r="I83" s="47">
        <v>303</v>
      </c>
      <c r="J83" s="47" t="s">
        <v>141</v>
      </c>
      <c r="K83" s="47">
        <v>1770905</v>
      </c>
      <c r="L83" s="47">
        <v>1770905</v>
      </c>
      <c r="M83" s="50">
        <v>30</v>
      </c>
      <c r="N83" s="49">
        <v>45921</v>
      </c>
      <c r="O83" s="49">
        <v>46280</v>
      </c>
      <c r="P83" s="51">
        <v>408545</v>
      </c>
      <c r="Q83" s="49">
        <v>46224</v>
      </c>
      <c r="R83" s="49" t="s">
        <v>45</v>
      </c>
      <c r="S83" s="47" t="s">
        <v>46</v>
      </c>
      <c r="T83" s="49"/>
      <c r="U83" s="47"/>
      <c r="V83" s="47"/>
      <c r="W83" s="44"/>
      <c r="X83" s="47"/>
      <c r="Y83" s="47"/>
      <c r="Z83" s="47"/>
      <c r="AA83" s="47"/>
    </row>
    <row r="84" spans="1:27" x14ac:dyDescent="0.35">
      <c r="A84" s="47">
        <v>91</v>
      </c>
      <c r="B84" s="47">
        <v>1000805580</v>
      </c>
      <c r="C84" s="39">
        <v>102222026960300</v>
      </c>
      <c r="D84" s="49">
        <v>46219</v>
      </c>
      <c r="E84" s="49" t="s">
        <v>67</v>
      </c>
      <c r="F84" s="49">
        <v>46179</v>
      </c>
      <c r="G84" s="49">
        <v>46218</v>
      </c>
      <c r="H84" s="47">
        <v>40</v>
      </c>
      <c r="I84" s="47">
        <v>86</v>
      </c>
      <c r="J84" s="47" t="s">
        <v>211</v>
      </c>
      <c r="K84" s="47" t="s">
        <v>78</v>
      </c>
      <c r="L84" s="47" t="s">
        <v>78</v>
      </c>
      <c r="M84" s="50" t="s">
        <v>70</v>
      </c>
      <c r="N84" s="49">
        <v>46124</v>
      </c>
      <c r="O84" s="49">
        <v>46483</v>
      </c>
      <c r="P84" s="51">
        <v>2334540</v>
      </c>
      <c r="Q84" s="49">
        <v>46224</v>
      </c>
      <c r="R84" s="49" t="s">
        <v>45</v>
      </c>
      <c r="S84" s="47" t="s">
        <v>46</v>
      </c>
      <c r="T84" s="49"/>
      <c r="U84" s="47"/>
      <c r="V84" s="47"/>
      <c r="W84" s="44"/>
      <c r="X84" s="47"/>
      <c r="Y84" s="47"/>
      <c r="Z84" s="47"/>
      <c r="AA84" s="47"/>
    </row>
    <row r="85" spans="1:27" x14ac:dyDescent="0.35">
      <c r="A85" s="47">
        <v>16</v>
      </c>
      <c r="B85" s="47">
        <v>1002100019</v>
      </c>
      <c r="C85" s="39">
        <v>102222026959800</v>
      </c>
      <c r="D85" s="49">
        <v>46219</v>
      </c>
      <c r="E85" s="49" t="s">
        <v>67</v>
      </c>
      <c r="F85" s="49">
        <v>46214</v>
      </c>
      <c r="G85" s="49">
        <v>46243</v>
      </c>
      <c r="H85" s="47">
        <v>30</v>
      </c>
      <c r="I85" s="47">
        <v>318</v>
      </c>
      <c r="J85" s="47" t="s">
        <v>95</v>
      </c>
      <c r="K85" s="47" t="s">
        <v>142</v>
      </c>
      <c r="L85" s="47" t="s">
        <v>142</v>
      </c>
      <c r="M85" s="50" t="s">
        <v>70</v>
      </c>
      <c r="N85" s="49">
        <v>45926</v>
      </c>
      <c r="O85" s="49">
        <v>46285</v>
      </c>
      <c r="P85" s="51">
        <v>1750905</v>
      </c>
      <c r="Q85" s="49">
        <v>46224</v>
      </c>
      <c r="R85" s="49" t="s">
        <v>45</v>
      </c>
      <c r="S85" s="47" t="s">
        <v>46</v>
      </c>
      <c r="T85" s="49"/>
      <c r="U85" s="47"/>
      <c r="V85" s="47"/>
      <c r="W85" s="44"/>
      <c r="X85" s="47"/>
      <c r="Y85" s="47"/>
      <c r="Z85" s="47"/>
      <c r="AA85" s="47"/>
    </row>
    <row r="86" spans="1:27" x14ac:dyDescent="0.35">
      <c r="A86" s="47">
        <v>160</v>
      </c>
      <c r="B86" s="47">
        <v>1002231697</v>
      </c>
      <c r="C86" s="39">
        <v>104707041315200</v>
      </c>
      <c r="D86" s="49">
        <v>46218</v>
      </c>
      <c r="E86" s="52" t="s">
        <v>24</v>
      </c>
      <c r="F86" s="52">
        <v>46159</v>
      </c>
      <c r="G86" s="52">
        <v>46197</v>
      </c>
      <c r="H86" s="47">
        <v>39</v>
      </c>
      <c r="I86" s="47">
        <v>39</v>
      </c>
      <c r="J86" s="47" t="s">
        <v>143</v>
      </c>
      <c r="K86" s="47" t="s">
        <v>78</v>
      </c>
      <c r="L86" s="47" t="s">
        <v>78</v>
      </c>
      <c r="M86" s="50" t="s">
        <v>70</v>
      </c>
      <c r="N86" s="49">
        <v>46158</v>
      </c>
      <c r="O86" s="49">
        <v>46517</v>
      </c>
      <c r="P86" s="51">
        <v>2276177</v>
      </c>
      <c r="Q86" s="49">
        <v>46224</v>
      </c>
      <c r="R86" s="49" t="s">
        <v>45</v>
      </c>
      <c r="S86" s="47" t="s">
        <v>46</v>
      </c>
      <c r="T86" s="49"/>
      <c r="U86" s="47"/>
      <c r="V86" s="47"/>
      <c r="W86" s="44"/>
      <c r="X86" s="47"/>
      <c r="Y86" s="47"/>
      <c r="Z86" s="47"/>
      <c r="AA86" s="47"/>
    </row>
    <row r="87" spans="1:27" x14ac:dyDescent="0.35">
      <c r="A87" s="47">
        <v>126</v>
      </c>
      <c r="B87" s="47">
        <v>1002331032</v>
      </c>
      <c r="C87" s="39">
        <v>4107413226923500</v>
      </c>
      <c r="D87" s="49">
        <v>46218</v>
      </c>
      <c r="E87" s="49" t="s">
        <v>67</v>
      </c>
      <c r="F87" s="49">
        <v>46205</v>
      </c>
      <c r="G87" s="49">
        <v>46219</v>
      </c>
      <c r="H87" s="47">
        <v>15</v>
      </c>
      <c r="I87" s="47">
        <v>149</v>
      </c>
      <c r="J87" s="47" t="s">
        <v>84</v>
      </c>
      <c r="K87" s="47">
        <v>1750920</v>
      </c>
      <c r="L87" s="47">
        <v>1750920</v>
      </c>
      <c r="M87" s="50">
        <v>30</v>
      </c>
      <c r="N87" s="49">
        <v>46071</v>
      </c>
      <c r="O87" s="49">
        <v>46430</v>
      </c>
      <c r="P87" s="51">
        <v>875453</v>
      </c>
      <c r="Q87" s="49">
        <v>46224</v>
      </c>
      <c r="R87" s="49" t="s">
        <v>45</v>
      </c>
      <c r="S87" s="47" t="s">
        <v>46</v>
      </c>
      <c r="T87" s="49"/>
      <c r="U87" s="47"/>
      <c r="V87" s="47"/>
      <c r="W87" s="44"/>
      <c r="X87" s="47"/>
      <c r="Y87" s="47"/>
      <c r="Z87" s="47"/>
      <c r="AA87" s="47"/>
    </row>
    <row r="88" spans="1:27" x14ac:dyDescent="0.35">
      <c r="A88" s="47">
        <v>1</v>
      </c>
      <c r="B88" s="47">
        <v>1002917722</v>
      </c>
      <c r="C88" s="39">
        <v>103809033385100</v>
      </c>
      <c r="D88" s="49">
        <v>46219</v>
      </c>
      <c r="E88" s="49" t="s">
        <v>67</v>
      </c>
      <c r="F88" s="49">
        <v>46177</v>
      </c>
      <c r="G88" s="49">
        <v>46211</v>
      </c>
      <c r="H88" s="47">
        <v>35</v>
      </c>
      <c r="I88" s="47">
        <v>210</v>
      </c>
      <c r="J88" s="47" t="s">
        <v>144</v>
      </c>
      <c r="K88" s="47" t="s">
        <v>93</v>
      </c>
      <c r="L88" s="47" t="s">
        <v>93</v>
      </c>
      <c r="M88" s="50" t="s">
        <v>70</v>
      </c>
      <c r="N88" s="49">
        <v>45997</v>
      </c>
      <c r="O88" s="49">
        <v>46356</v>
      </c>
      <c r="P88" s="51">
        <v>2042723</v>
      </c>
      <c r="Q88" s="49">
        <v>46224</v>
      </c>
      <c r="R88" s="49" t="s">
        <v>45</v>
      </c>
      <c r="S88" s="47" t="s">
        <v>46</v>
      </c>
      <c r="T88" s="49"/>
      <c r="U88" s="47"/>
      <c r="V88" s="47"/>
      <c r="W88" s="44"/>
      <c r="X88" s="47"/>
      <c r="Y88" s="47"/>
      <c r="Z88" s="47"/>
      <c r="AA88" s="47"/>
    </row>
    <row r="89" spans="1:27" x14ac:dyDescent="0.35">
      <c r="A89" s="47">
        <v>51</v>
      </c>
      <c r="B89" s="47">
        <v>1002969162</v>
      </c>
      <c r="C89" s="39">
        <v>103874014961400</v>
      </c>
      <c r="D89" s="49">
        <v>46219</v>
      </c>
      <c r="E89" s="49" t="s">
        <v>67</v>
      </c>
      <c r="F89" s="49">
        <v>46200</v>
      </c>
      <c r="G89" s="49">
        <v>46206</v>
      </c>
      <c r="H89" s="47">
        <v>7</v>
      </c>
      <c r="I89" s="47">
        <v>309</v>
      </c>
      <c r="J89" s="47" t="s">
        <v>145</v>
      </c>
      <c r="K89" s="47" t="s">
        <v>78</v>
      </c>
      <c r="L89" s="47" t="s">
        <v>78</v>
      </c>
      <c r="M89" s="50" t="s">
        <v>70</v>
      </c>
      <c r="N89" s="49">
        <v>45875</v>
      </c>
      <c r="O89" s="49">
        <v>46234</v>
      </c>
      <c r="P89" s="51">
        <v>408545</v>
      </c>
      <c r="Q89" s="49">
        <v>46224</v>
      </c>
      <c r="R89" s="49" t="s">
        <v>45</v>
      </c>
      <c r="S89" s="47" t="s">
        <v>46</v>
      </c>
      <c r="T89" s="49"/>
      <c r="U89" s="47"/>
      <c r="V89" s="47"/>
      <c r="W89" s="44"/>
      <c r="X89" s="47"/>
      <c r="Y89" s="47"/>
      <c r="Z89" s="47"/>
      <c r="AA89" s="47"/>
    </row>
    <row r="90" spans="1:27" x14ac:dyDescent="0.35">
      <c r="A90" s="47">
        <v>79</v>
      </c>
      <c r="B90" s="47">
        <v>1003045025</v>
      </c>
      <c r="C90" s="39">
        <v>104688012909500</v>
      </c>
      <c r="D90" s="49">
        <v>46219</v>
      </c>
      <c r="E90" s="49" t="s">
        <v>67</v>
      </c>
      <c r="F90" s="49">
        <v>46155</v>
      </c>
      <c r="G90" s="49">
        <v>46214</v>
      </c>
      <c r="H90" s="47">
        <v>60</v>
      </c>
      <c r="I90" s="47">
        <v>266</v>
      </c>
      <c r="J90" s="47" t="s">
        <v>234</v>
      </c>
      <c r="K90" s="47" t="s">
        <v>75</v>
      </c>
      <c r="L90" s="47" t="s">
        <v>75</v>
      </c>
      <c r="M90" s="50" t="s">
        <v>76</v>
      </c>
      <c r="N90" s="49">
        <v>45916</v>
      </c>
      <c r="O90" s="49">
        <v>46275</v>
      </c>
      <c r="P90" s="51">
        <v>3501810</v>
      </c>
      <c r="Q90" s="49">
        <v>46224</v>
      </c>
      <c r="R90" s="49" t="s">
        <v>45</v>
      </c>
      <c r="S90" s="47" t="s">
        <v>46</v>
      </c>
      <c r="T90" s="49"/>
      <c r="U90" s="47"/>
      <c r="V90" s="47"/>
      <c r="W90" s="44"/>
      <c r="X90" s="47"/>
      <c r="Y90" s="47"/>
      <c r="Z90" s="47"/>
      <c r="AA90" s="47"/>
    </row>
    <row r="91" spans="1:27" x14ac:dyDescent="0.35">
      <c r="A91" s="47">
        <v>102</v>
      </c>
      <c r="B91" s="47">
        <v>1003073870</v>
      </c>
      <c r="C91" s="39">
        <v>102222026958100</v>
      </c>
      <c r="D91" s="49">
        <v>46219</v>
      </c>
      <c r="E91" s="49" t="s">
        <v>67</v>
      </c>
      <c r="F91" s="49">
        <v>46219</v>
      </c>
      <c r="G91" s="49">
        <v>46233</v>
      </c>
      <c r="H91" s="47">
        <v>15</v>
      </c>
      <c r="I91" s="47">
        <v>285</v>
      </c>
      <c r="J91" s="47" t="s">
        <v>146</v>
      </c>
      <c r="K91" s="47">
        <v>1750906</v>
      </c>
      <c r="L91" s="47">
        <v>1750906</v>
      </c>
      <c r="M91" s="50">
        <v>30</v>
      </c>
      <c r="N91" s="49">
        <v>45938</v>
      </c>
      <c r="O91" s="49">
        <v>46297</v>
      </c>
      <c r="P91" s="51">
        <v>875453</v>
      </c>
      <c r="Q91" s="49">
        <v>46224</v>
      </c>
      <c r="R91" s="49" t="s">
        <v>45</v>
      </c>
      <c r="S91" s="47" t="s">
        <v>46</v>
      </c>
      <c r="T91" s="49"/>
      <c r="U91" s="47"/>
      <c r="V91" s="47"/>
      <c r="W91" s="44"/>
      <c r="X91" s="47"/>
      <c r="Y91" s="47"/>
      <c r="Z91" s="47"/>
      <c r="AA91" s="47"/>
    </row>
    <row r="92" spans="1:27" x14ac:dyDescent="0.35">
      <c r="A92" s="47">
        <v>191</v>
      </c>
      <c r="B92" s="47">
        <v>1003335968</v>
      </c>
      <c r="C92" s="39">
        <v>104786016770900</v>
      </c>
      <c r="D92" s="49">
        <v>46217</v>
      </c>
      <c r="E92" s="49" t="s">
        <v>67</v>
      </c>
      <c r="F92" s="49">
        <v>46213</v>
      </c>
      <c r="G92" s="49">
        <v>46242</v>
      </c>
      <c r="H92" s="47">
        <v>30</v>
      </c>
      <c r="I92" s="47">
        <v>109</v>
      </c>
      <c r="J92" s="47" t="s">
        <v>147</v>
      </c>
      <c r="K92" s="47" t="s">
        <v>78</v>
      </c>
      <c r="L92" s="47" t="s">
        <v>78</v>
      </c>
      <c r="M92" s="50" t="s">
        <v>70</v>
      </c>
      <c r="N92" s="49">
        <v>46132</v>
      </c>
      <c r="O92" s="49">
        <v>46491</v>
      </c>
      <c r="P92" s="51">
        <v>1750905</v>
      </c>
      <c r="Q92" s="49">
        <v>46224</v>
      </c>
      <c r="R92" s="49" t="s">
        <v>45</v>
      </c>
      <c r="S92" s="47" t="s">
        <v>46</v>
      </c>
      <c r="T92" s="49"/>
      <c r="U92" s="47"/>
      <c r="V92" s="47"/>
      <c r="W92" s="44"/>
      <c r="X92" s="47"/>
      <c r="Y92" s="47"/>
      <c r="Z92" s="47"/>
      <c r="AA92" s="47"/>
    </row>
    <row r="93" spans="1:27" x14ac:dyDescent="0.35">
      <c r="A93" s="47">
        <v>153</v>
      </c>
      <c r="B93" s="47">
        <v>1003487889</v>
      </c>
      <c r="C93" s="39">
        <v>4107413227038200</v>
      </c>
      <c r="D93" s="49">
        <v>46218</v>
      </c>
      <c r="E93" s="49" t="s">
        <v>67</v>
      </c>
      <c r="F93" s="49">
        <v>46157</v>
      </c>
      <c r="G93" s="49">
        <v>46186</v>
      </c>
      <c r="H93" s="47">
        <v>30</v>
      </c>
      <c r="I93" s="47">
        <v>174</v>
      </c>
      <c r="J93" s="47" t="s">
        <v>148</v>
      </c>
      <c r="K93" s="47" t="s">
        <v>78</v>
      </c>
      <c r="L93" s="47" t="s">
        <v>78</v>
      </c>
      <c r="M93" s="50" t="s">
        <v>70</v>
      </c>
      <c r="N93" s="49">
        <v>46013</v>
      </c>
      <c r="O93" s="49">
        <v>46372</v>
      </c>
      <c r="P93" s="51">
        <v>1750905</v>
      </c>
      <c r="Q93" s="49">
        <v>46224</v>
      </c>
      <c r="R93" s="49" t="s">
        <v>45</v>
      </c>
      <c r="S93" s="47" t="s">
        <v>46</v>
      </c>
      <c r="T93" s="49"/>
      <c r="U93" s="47"/>
      <c r="V93" s="47"/>
      <c r="W93" s="44"/>
      <c r="X93" s="47"/>
      <c r="Y93" s="47"/>
      <c r="Z93" s="47"/>
      <c r="AA93" s="47"/>
    </row>
    <row r="94" spans="1:27" x14ac:dyDescent="0.35">
      <c r="A94" s="47">
        <v>121</v>
      </c>
      <c r="B94" s="47">
        <v>1003648427</v>
      </c>
      <c r="C94" s="39">
        <v>4107413227043800</v>
      </c>
      <c r="D94" s="49">
        <v>46218</v>
      </c>
      <c r="E94" s="49" t="s">
        <v>67</v>
      </c>
      <c r="F94" s="49">
        <v>46200</v>
      </c>
      <c r="G94" s="49">
        <v>46229</v>
      </c>
      <c r="H94" s="47">
        <v>30</v>
      </c>
      <c r="I94" s="47">
        <v>127</v>
      </c>
      <c r="J94" s="47" t="s">
        <v>149</v>
      </c>
      <c r="K94" s="47" t="s">
        <v>150</v>
      </c>
      <c r="L94" s="47" t="s">
        <v>150</v>
      </c>
      <c r="M94" s="50" t="s">
        <v>70</v>
      </c>
      <c r="N94" s="49">
        <v>46103</v>
      </c>
      <c r="O94" s="49">
        <v>46462</v>
      </c>
      <c r="P94" s="51">
        <v>1750905</v>
      </c>
      <c r="Q94" s="49">
        <v>46224</v>
      </c>
      <c r="R94" s="49" t="s">
        <v>45</v>
      </c>
      <c r="S94" s="47" t="s">
        <v>46</v>
      </c>
      <c r="T94" s="49"/>
      <c r="U94" s="47"/>
      <c r="V94" s="47"/>
      <c r="W94" s="44"/>
      <c r="X94" s="47"/>
      <c r="Y94" s="47"/>
      <c r="Z94" s="47"/>
      <c r="AA94" s="47"/>
    </row>
    <row r="95" spans="1:27" x14ac:dyDescent="0.35">
      <c r="A95" s="47">
        <v>125</v>
      </c>
      <c r="B95" s="47">
        <v>1004134311</v>
      </c>
      <c r="C95" s="39">
        <v>103864017105800</v>
      </c>
      <c r="D95" s="49">
        <v>46218</v>
      </c>
      <c r="E95" s="49" t="s">
        <v>67</v>
      </c>
      <c r="F95" s="49">
        <v>46177</v>
      </c>
      <c r="G95" s="49">
        <v>46206</v>
      </c>
      <c r="H95" s="47">
        <v>30</v>
      </c>
      <c r="I95" s="47">
        <v>106</v>
      </c>
      <c r="J95" s="47" t="s">
        <v>79</v>
      </c>
      <c r="K95" s="47" t="s">
        <v>151</v>
      </c>
      <c r="L95" s="47" t="s">
        <v>151</v>
      </c>
      <c r="M95" s="50" t="s">
        <v>70</v>
      </c>
      <c r="N95" s="49">
        <v>46101</v>
      </c>
      <c r="O95" s="49">
        <v>46460</v>
      </c>
      <c r="P95" s="51">
        <v>1750905</v>
      </c>
      <c r="Q95" s="49">
        <v>46224</v>
      </c>
      <c r="R95" s="49" t="s">
        <v>45</v>
      </c>
      <c r="S95" s="47" t="s">
        <v>46</v>
      </c>
      <c r="T95" s="49"/>
      <c r="U95" s="47"/>
      <c r="V95" s="47"/>
      <c r="W95" s="44"/>
      <c r="X95" s="47"/>
      <c r="Y95" s="47"/>
      <c r="Z95" s="47"/>
      <c r="AA95" s="47"/>
    </row>
    <row r="96" spans="1:27" x14ac:dyDescent="0.35">
      <c r="A96" s="47">
        <v>62</v>
      </c>
      <c r="B96" s="47">
        <v>1005653823</v>
      </c>
      <c r="C96" s="39">
        <v>106323012156000</v>
      </c>
      <c r="D96" s="49">
        <v>46219</v>
      </c>
      <c r="E96" s="49" t="s">
        <v>67</v>
      </c>
      <c r="F96" s="49">
        <v>46197</v>
      </c>
      <c r="G96" s="49">
        <v>46198</v>
      </c>
      <c r="H96" s="47">
        <v>2</v>
      </c>
      <c r="I96" s="47">
        <v>233</v>
      </c>
      <c r="J96" s="47" t="s">
        <v>152</v>
      </c>
      <c r="K96" s="47">
        <v>1750905</v>
      </c>
      <c r="L96" s="47">
        <v>1750905</v>
      </c>
      <c r="M96" s="50">
        <v>30</v>
      </c>
      <c r="N96" s="49">
        <v>45934</v>
      </c>
      <c r="O96" s="49">
        <v>46293</v>
      </c>
      <c r="P96" s="51">
        <v>116727</v>
      </c>
      <c r="Q96" s="49">
        <v>46224</v>
      </c>
      <c r="R96" s="49" t="s">
        <v>45</v>
      </c>
      <c r="S96" s="47" t="s">
        <v>46</v>
      </c>
      <c r="T96" s="49"/>
      <c r="U96" s="47"/>
      <c r="V96" s="47"/>
      <c r="W96" s="44"/>
      <c r="X96" s="47"/>
      <c r="Y96" s="47"/>
      <c r="Z96" s="47"/>
      <c r="AA96" s="47"/>
    </row>
    <row r="97" spans="1:27" x14ac:dyDescent="0.35">
      <c r="A97" s="47">
        <v>63</v>
      </c>
      <c r="B97" s="47">
        <v>1005653823</v>
      </c>
      <c r="C97" s="39">
        <v>106323012156000</v>
      </c>
      <c r="D97" s="49">
        <v>46219</v>
      </c>
      <c r="E97" s="49" t="s">
        <v>67</v>
      </c>
      <c r="F97" s="49">
        <v>46204</v>
      </c>
      <c r="G97" s="49">
        <v>46205</v>
      </c>
      <c r="H97" s="47">
        <v>2</v>
      </c>
      <c r="I97" s="47">
        <v>235</v>
      </c>
      <c r="J97" s="47" t="s">
        <v>152</v>
      </c>
      <c r="K97" s="47">
        <v>1750905</v>
      </c>
      <c r="L97" s="47">
        <v>1750905</v>
      </c>
      <c r="M97" s="50">
        <v>30</v>
      </c>
      <c r="N97" s="49">
        <v>45934</v>
      </c>
      <c r="O97" s="49">
        <v>46293</v>
      </c>
      <c r="P97" s="51">
        <v>116727</v>
      </c>
      <c r="Q97" s="49">
        <v>46224</v>
      </c>
      <c r="R97" s="49" t="s">
        <v>45</v>
      </c>
      <c r="S97" s="47" t="s">
        <v>46</v>
      </c>
      <c r="T97" s="49"/>
      <c r="U97" s="47"/>
      <c r="V97" s="47"/>
      <c r="W97" s="44"/>
      <c r="X97" s="47"/>
      <c r="Y97" s="47"/>
      <c r="Z97" s="47"/>
      <c r="AA97" s="47"/>
    </row>
    <row r="98" spans="1:27" x14ac:dyDescent="0.35">
      <c r="A98" s="47">
        <v>66</v>
      </c>
      <c r="B98" s="47">
        <v>1005653823</v>
      </c>
      <c r="C98" s="39">
        <v>106323012156000</v>
      </c>
      <c r="D98" s="49">
        <v>46219</v>
      </c>
      <c r="E98" s="49" t="s">
        <v>67</v>
      </c>
      <c r="F98" s="49">
        <v>46207</v>
      </c>
      <c r="G98" s="49">
        <v>46209</v>
      </c>
      <c r="H98" s="47">
        <v>3</v>
      </c>
      <c r="I98" s="47">
        <v>256</v>
      </c>
      <c r="J98" s="47" t="s">
        <v>152</v>
      </c>
      <c r="K98" s="47">
        <v>1750905</v>
      </c>
      <c r="L98" s="47">
        <v>1750905</v>
      </c>
      <c r="M98" s="50">
        <v>30</v>
      </c>
      <c r="N98" s="49">
        <v>45934</v>
      </c>
      <c r="O98" s="49">
        <v>46293</v>
      </c>
      <c r="P98" s="51">
        <v>175091</v>
      </c>
      <c r="Q98" s="49">
        <v>46224</v>
      </c>
      <c r="R98" s="49" t="s">
        <v>45</v>
      </c>
      <c r="S98" s="47" t="s">
        <v>46</v>
      </c>
      <c r="T98" s="49"/>
      <c r="U98" s="47"/>
      <c r="V98" s="47"/>
      <c r="W98" s="44"/>
      <c r="X98" s="47"/>
      <c r="Y98" s="47"/>
      <c r="Z98" s="47"/>
      <c r="AA98" s="47"/>
    </row>
    <row r="99" spans="1:27" x14ac:dyDescent="0.35">
      <c r="A99" s="47">
        <v>64</v>
      </c>
      <c r="B99" s="47">
        <v>1005653823</v>
      </c>
      <c r="C99" s="39">
        <v>106323012156000</v>
      </c>
      <c r="D99" s="49">
        <v>46219</v>
      </c>
      <c r="E99" s="49" t="s">
        <v>67</v>
      </c>
      <c r="F99" s="49">
        <v>46210</v>
      </c>
      <c r="G99" s="49">
        <v>46212</v>
      </c>
      <c r="H99" s="47">
        <v>3</v>
      </c>
      <c r="I99" s="47">
        <v>238</v>
      </c>
      <c r="J99" s="47" t="s">
        <v>152</v>
      </c>
      <c r="K99" s="47">
        <v>1750905</v>
      </c>
      <c r="L99" s="47">
        <v>1750905</v>
      </c>
      <c r="M99" s="50">
        <v>30</v>
      </c>
      <c r="N99" s="49">
        <v>45934</v>
      </c>
      <c r="O99" s="49">
        <v>46293</v>
      </c>
      <c r="P99" s="51">
        <v>175091</v>
      </c>
      <c r="Q99" s="49">
        <v>46224</v>
      </c>
      <c r="R99" s="49" t="s">
        <v>45</v>
      </c>
      <c r="S99" s="47" t="s">
        <v>46</v>
      </c>
      <c r="T99" s="49"/>
      <c r="U99" s="47"/>
      <c r="V99" s="47"/>
      <c r="W99" s="44"/>
      <c r="X99" s="47"/>
      <c r="Y99" s="47"/>
      <c r="Z99" s="47"/>
      <c r="AA99" s="47"/>
    </row>
    <row r="100" spans="1:27" x14ac:dyDescent="0.35">
      <c r="A100" s="47">
        <v>65</v>
      </c>
      <c r="B100" s="47">
        <v>1005653823</v>
      </c>
      <c r="C100" s="39">
        <v>106323012156000</v>
      </c>
      <c r="D100" s="49">
        <v>46219</v>
      </c>
      <c r="E100" s="49" t="s">
        <v>67</v>
      </c>
      <c r="F100" s="49">
        <v>46214</v>
      </c>
      <c r="G100" s="49">
        <v>46228</v>
      </c>
      <c r="H100" s="47">
        <v>15</v>
      </c>
      <c r="I100" s="47">
        <v>253</v>
      </c>
      <c r="J100" s="47" t="s">
        <v>152</v>
      </c>
      <c r="K100" s="47">
        <v>1750905</v>
      </c>
      <c r="L100" s="47">
        <v>1750905</v>
      </c>
      <c r="M100" s="50">
        <v>30</v>
      </c>
      <c r="N100" s="49">
        <v>45934</v>
      </c>
      <c r="O100" s="49">
        <v>46293</v>
      </c>
      <c r="P100" s="51">
        <v>875453</v>
      </c>
      <c r="Q100" s="49">
        <v>46224</v>
      </c>
      <c r="R100" s="49" t="s">
        <v>45</v>
      </c>
      <c r="S100" s="47" t="s">
        <v>46</v>
      </c>
      <c r="T100" s="49"/>
      <c r="U100" s="47"/>
      <c r="V100" s="47"/>
      <c r="W100" s="44"/>
      <c r="X100" s="47"/>
      <c r="Y100" s="47"/>
      <c r="Z100" s="47"/>
      <c r="AA100" s="47"/>
    </row>
    <row r="101" spans="1:27" x14ac:dyDescent="0.35">
      <c r="A101" s="47">
        <v>184</v>
      </c>
      <c r="B101" s="47">
        <v>1006123573</v>
      </c>
      <c r="C101" s="39">
        <v>4100292633807800</v>
      </c>
      <c r="D101" s="49">
        <v>46218</v>
      </c>
      <c r="E101" s="49" t="s">
        <v>67</v>
      </c>
      <c r="F101" s="49">
        <v>46208</v>
      </c>
      <c r="G101" s="49">
        <v>46237</v>
      </c>
      <c r="H101" s="47">
        <v>30</v>
      </c>
      <c r="I101" s="47">
        <v>139</v>
      </c>
      <c r="J101" s="47" t="s">
        <v>79</v>
      </c>
      <c r="K101" s="47" t="s">
        <v>78</v>
      </c>
      <c r="L101" s="47" t="s">
        <v>78</v>
      </c>
      <c r="M101" s="50" t="s">
        <v>70</v>
      </c>
      <c r="N101" s="49">
        <v>46099</v>
      </c>
      <c r="O101" s="49">
        <v>46458</v>
      </c>
      <c r="P101" s="51">
        <v>1750905</v>
      </c>
      <c r="Q101" s="49">
        <v>46224</v>
      </c>
      <c r="R101" s="49" t="s">
        <v>45</v>
      </c>
      <c r="S101" s="47" t="s">
        <v>46</v>
      </c>
      <c r="T101" s="49"/>
      <c r="U101" s="47"/>
      <c r="V101" s="47"/>
      <c r="W101" s="44"/>
      <c r="X101" s="47"/>
      <c r="Y101" s="47"/>
      <c r="Z101" s="47"/>
      <c r="AA101" s="47"/>
    </row>
    <row r="102" spans="1:27" x14ac:dyDescent="0.35">
      <c r="A102" s="47">
        <v>119</v>
      </c>
      <c r="B102" s="47">
        <v>1007173674</v>
      </c>
      <c r="C102" s="39">
        <v>4107413227041200</v>
      </c>
      <c r="D102" s="49">
        <v>46218</v>
      </c>
      <c r="E102" s="49" t="s">
        <v>67</v>
      </c>
      <c r="F102" s="49">
        <v>46193</v>
      </c>
      <c r="G102" s="49">
        <v>46222</v>
      </c>
      <c r="H102" s="47">
        <v>30</v>
      </c>
      <c r="I102" s="47">
        <v>153</v>
      </c>
      <c r="J102" s="47" t="s">
        <v>153</v>
      </c>
      <c r="K102" s="47" t="s">
        <v>93</v>
      </c>
      <c r="L102" s="47" t="s">
        <v>93</v>
      </c>
      <c r="M102" s="50" t="s">
        <v>70</v>
      </c>
      <c r="N102" s="49">
        <v>46047</v>
      </c>
      <c r="O102" s="49">
        <v>46406</v>
      </c>
      <c r="P102" s="51">
        <v>1750905</v>
      </c>
      <c r="Q102" s="49">
        <v>46224</v>
      </c>
      <c r="R102" s="49" t="s">
        <v>45</v>
      </c>
      <c r="S102" s="47" t="s">
        <v>46</v>
      </c>
      <c r="T102" s="49"/>
      <c r="U102" s="47"/>
      <c r="V102" s="47"/>
      <c r="W102" s="44"/>
      <c r="X102" s="47"/>
      <c r="Y102" s="47"/>
      <c r="Z102" s="47"/>
      <c r="AA102" s="47"/>
    </row>
    <row r="103" spans="1:27" x14ac:dyDescent="0.35">
      <c r="A103" s="47">
        <v>11</v>
      </c>
      <c r="B103" s="47">
        <v>1007192337</v>
      </c>
      <c r="C103" s="39">
        <v>105672028237000</v>
      </c>
      <c r="D103" s="49">
        <v>46219</v>
      </c>
      <c r="E103" s="49" t="s">
        <v>67</v>
      </c>
      <c r="F103" s="49">
        <v>46221</v>
      </c>
      <c r="G103" s="49">
        <v>46250</v>
      </c>
      <c r="H103" s="47">
        <v>30</v>
      </c>
      <c r="I103" s="47">
        <v>141</v>
      </c>
      <c r="J103" s="47" t="s">
        <v>154</v>
      </c>
      <c r="K103" s="47" t="s">
        <v>78</v>
      </c>
      <c r="L103" s="47" t="s">
        <v>78</v>
      </c>
      <c r="M103" s="50" t="s">
        <v>70</v>
      </c>
      <c r="N103" s="49">
        <v>46110</v>
      </c>
      <c r="O103" s="49">
        <v>46469</v>
      </c>
      <c r="P103" s="51">
        <v>1750905</v>
      </c>
      <c r="Q103" s="49">
        <v>46224</v>
      </c>
      <c r="R103" s="49" t="s">
        <v>45</v>
      </c>
      <c r="S103" s="47" t="s">
        <v>46</v>
      </c>
      <c r="T103" s="49"/>
      <c r="U103" s="47"/>
      <c r="V103" s="47"/>
      <c r="W103" s="44"/>
      <c r="X103" s="47"/>
      <c r="Y103" s="47"/>
      <c r="Z103" s="47"/>
      <c r="AA103" s="47"/>
    </row>
    <row r="104" spans="1:27" x14ac:dyDescent="0.35">
      <c r="A104" s="47">
        <v>134</v>
      </c>
      <c r="B104" s="47">
        <v>1007303864</v>
      </c>
      <c r="C104" s="39">
        <v>4107413227086000</v>
      </c>
      <c r="D104" s="49">
        <v>46218</v>
      </c>
      <c r="E104" s="49" t="s">
        <v>67</v>
      </c>
      <c r="F104" s="49">
        <v>46169</v>
      </c>
      <c r="G104" s="49">
        <v>46173</v>
      </c>
      <c r="H104" s="47">
        <v>5</v>
      </c>
      <c r="I104" s="47">
        <v>337</v>
      </c>
      <c r="J104" s="47" t="s">
        <v>155</v>
      </c>
      <c r="K104" s="47">
        <v>1750905</v>
      </c>
      <c r="L104" s="47">
        <v>1750905</v>
      </c>
      <c r="M104" s="50">
        <v>30</v>
      </c>
      <c r="N104" s="49">
        <v>45837</v>
      </c>
      <c r="O104" s="49">
        <v>46196</v>
      </c>
      <c r="P104" s="51">
        <v>291818</v>
      </c>
      <c r="Q104" s="49">
        <v>46224</v>
      </c>
      <c r="R104" s="49" t="s">
        <v>45</v>
      </c>
      <c r="S104" s="47" t="s">
        <v>46</v>
      </c>
      <c r="T104" s="49"/>
      <c r="U104" s="47"/>
      <c r="V104" s="47"/>
      <c r="W104" s="44"/>
      <c r="X104" s="47"/>
      <c r="Y104" s="47"/>
      <c r="Z104" s="47"/>
      <c r="AA104" s="47"/>
    </row>
    <row r="105" spans="1:27" x14ac:dyDescent="0.35">
      <c r="A105" s="47">
        <v>142</v>
      </c>
      <c r="B105" s="47">
        <v>1007438977</v>
      </c>
      <c r="C105" s="39">
        <v>106222010288500</v>
      </c>
      <c r="D105" s="49">
        <v>46218</v>
      </c>
      <c r="E105" s="49" t="s">
        <v>67</v>
      </c>
      <c r="F105" s="49">
        <v>46183</v>
      </c>
      <c r="G105" s="49">
        <v>46227</v>
      </c>
      <c r="H105" s="47">
        <v>45</v>
      </c>
      <c r="I105" s="47">
        <v>340</v>
      </c>
      <c r="J105" s="47" t="s">
        <v>68</v>
      </c>
      <c r="K105" s="47" t="s">
        <v>156</v>
      </c>
      <c r="L105" s="47" t="s">
        <v>156</v>
      </c>
      <c r="M105" s="50" t="s">
        <v>70</v>
      </c>
      <c r="N105" s="49">
        <v>45888</v>
      </c>
      <c r="O105" s="49">
        <v>46247</v>
      </c>
      <c r="P105" s="51">
        <v>2626358</v>
      </c>
      <c r="Q105" s="49">
        <v>46224</v>
      </c>
      <c r="R105" s="49" t="s">
        <v>45</v>
      </c>
      <c r="S105" s="47" t="s">
        <v>46</v>
      </c>
      <c r="T105" s="49"/>
      <c r="U105" s="47"/>
      <c r="V105" s="47"/>
      <c r="W105" s="44"/>
      <c r="X105" s="47"/>
      <c r="Y105" s="47"/>
      <c r="Z105" s="47"/>
      <c r="AA105" s="47"/>
    </row>
    <row r="106" spans="1:27" x14ac:dyDescent="0.35">
      <c r="A106" s="47">
        <v>135</v>
      </c>
      <c r="B106" s="47">
        <v>1007509079</v>
      </c>
      <c r="C106" s="39">
        <v>103815029896800</v>
      </c>
      <c r="D106" s="49">
        <v>46217</v>
      </c>
      <c r="E106" s="52" t="s">
        <v>24</v>
      </c>
      <c r="F106" s="52">
        <v>46179</v>
      </c>
      <c r="G106" s="52">
        <v>46208</v>
      </c>
      <c r="H106" s="47">
        <v>30</v>
      </c>
      <c r="I106" s="47">
        <v>30</v>
      </c>
      <c r="J106" s="47" t="s">
        <v>157</v>
      </c>
      <c r="K106" s="47" t="s">
        <v>78</v>
      </c>
      <c r="L106" s="47" t="s">
        <v>78</v>
      </c>
      <c r="M106" s="50" t="s">
        <v>70</v>
      </c>
      <c r="N106" s="49">
        <v>46179</v>
      </c>
      <c r="O106" s="49">
        <v>46538</v>
      </c>
      <c r="P106" s="51">
        <v>1750905</v>
      </c>
      <c r="Q106" s="49">
        <v>46224</v>
      </c>
      <c r="R106" s="49" t="s">
        <v>45</v>
      </c>
      <c r="S106" s="47" t="s">
        <v>46</v>
      </c>
      <c r="T106" s="49"/>
      <c r="U106" s="47"/>
      <c r="V106" s="47"/>
      <c r="W106" s="44"/>
      <c r="X106" s="47"/>
      <c r="Y106" s="47"/>
      <c r="Z106" s="47"/>
      <c r="AA106" s="47"/>
    </row>
    <row r="107" spans="1:27" x14ac:dyDescent="0.35">
      <c r="A107" s="47">
        <v>41</v>
      </c>
      <c r="B107" s="47">
        <v>1010171691</v>
      </c>
      <c r="C107" s="39">
        <v>4107413227163400</v>
      </c>
      <c r="D107" s="49">
        <v>46219</v>
      </c>
      <c r="E107" s="49" t="s">
        <v>67</v>
      </c>
      <c r="F107" s="49">
        <v>46172</v>
      </c>
      <c r="G107" s="49">
        <v>46200</v>
      </c>
      <c r="H107" s="47">
        <v>29</v>
      </c>
      <c r="I107" s="47">
        <v>41</v>
      </c>
      <c r="J107" s="47" t="s">
        <v>235</v>
      </c>
      <c r="K107" s="47" t="s">
        <v>93</v>
      </c>
      <c r="L107" s="47" t="s">
        <v>93</v>
      </c>
      <c r="M107" s="50" t="s">
        <v>70</v>
      </c>
      <c r="N107" s="49">
        <v>46160</v>
      </c>
      <c r="O107" s="49">
        <v>46519</v>
      </c>
      <c r="P107" s="51">
        <v>1692542</v>
      </c>
      <c r="Q107" s="49">
        <v>46224</v>
      </c>
      <c r="R107" s="49" t="s">
        <v>45</v>
      </c>
      <c r="S107" s="47" t="s">
        <v>46</v>
      </c>
      <c r="T107" s="49"/>
      <c r="U107" s="47"/>
      <c r="V107" s="47"/>
      <c r="W107" s="44"/>
      <c r="X107" s="47"/>
      <c r="Y107" s="47"/>
      <c r="Z107" s="47"/>
      <c r="AA107" s="47"/>
    </row>
    <row r="108" spans="1:27" x14ac:dyDescent="0.35">
      <c r="A108" s="47">
        <v>39</v>
      </c>
      <c r="B108" s="47">
        <v>1013667881</v>
      </c>
      <c r="C108" s="39">
        <v>4107413227135900</v>
      </c>
      <c r="D108" s="49">
        <v>46219</v>
      </c>
      <c r="E108" s="49" t="s">
        <v>67</v>
      </c>
      <c r="F108" s="49">
        <v>46205</v>
      </c>
      <c r="G108" s="49">
        <v>46234</v>
      </c>
      <c r="H108" s="47">
        <v>30</v>
      </c>
      <c r="I108" s="47">
        <v>163</v>
      </c>
      <c r="J108" s="47" t="s">
        <v>129</v>
      </c>
      <c r="K108" s="47">
        <v>2800000</v>
      </c>
      <c r="L108" s="47">
        <v>2800000</v>
      </c>
      <c r="M108" s="50">
        <v>30</v>
      </c>
      <c r="N108" s="49">
        <v>46072</v>
      </c>
      <c r="O108" s="49">
        <v>46431</v>
      </c>
      <c r="P108" s="51">
        <v>1750905</v>
      </c>
      <c r="Q108" s="49">
        <v>46224</v>
      </c>
      <c r="R108" s="49" t="s">
        <v>45</v>
      </c>
      <c r="S108" s="47" t="s">
        <v>46</v>
      </c>
      <c r="T108" s="49"/>
      <c r="U108" s="47"/>
      <c r="V108" s="47"/>
      <c r="W108" s="44"/>
      <c r="X108" s="47"/>
      <c r="Y108" s="47"/>
      <c r="Z108" s="47"/>
      <c r="AA108" s="47"/>
    </row>
    <row r="109" spans="1:27" x14ac:dyDescent="0.35">
      <c r="A109" s="47">
        <v>137</v>
      </c>
      <c r="B109" s="47">
        <v>1014211807</v>
      </c>
      <c r="C109" s="39">
        <v>4107413227133800</v>
      </c>
      <c r="D109" s="49">
        <v>46218</v>
      </c>
      <c r="E109" s="49" t="s">
        <v>67</v>
      </c>
      <c r="F109" s="49">
        <v>46085</v>
      </c>
      <c r="G109" s="49">
        <v>46089</v>
      </c>
      <c r="H109" s="47">
        <v>5</v>
      </c>
      <c r="I109" s="47">
        <v>77</v>
      </c>
      <c r="J109" s="47" t="s">
        <v>225</v>
      </c>
      <c r="K109" s="47">
        <v>2098990</v>
      </c>
      <c r="L109" s="47">
        <v>2098990</v>
      </c>
      <c r="M109" s="50">
        <v>30</v>
      </c>
      <c r="N109" s="49">
        <v>46085</v>
      </c>
      <c r="O109" s="49">
        <v>46444</v>
      </c>
      <c r="P109" s="51">
        <v>291818</v>
      </c>
      <c r="Q109" s="49">
        <v>46224</v>
      </c>
      <c r="R109" s="49" t="s">
        <v>45</v>
      </c>
      <c r="S109" s="47" t="s">
        <v>46</v>
      </c>
      <c r="T109" s="49"/>
      <c r="U109" s="47"/>
      <c r="V109" s="47"/>
      <c r="W109" s="44"/>
      <c r="X109" s="47"/>
      <c r="Y109" s="47"/>
      <c r="Z109" s="47"/>
      <c r="AA109" s="47"/>
    </row>
    <row r="110" spans="1:27" x14ac:dyDescent="0.35">
      <c r="A110" s="47">
        <v>118</v>
      </c>
      <c r="B110" s="47">
        <v>1016713787</v>
      </c>
      <c r="C110" s="39">
        <v>4107413227038600</v>
      </c>
      <c r="D110" s="49">
        <v>46218</v>
      </c>
      <c r="E110" s="49" t="s">
        <v>67</v>
      </c>
      <c r="F110" s="49">
        <v>46212</v>
      </c>
      <c r="G110" s="49">
        <v>46221</v>
      </c>
      <c r="H110" s="47">
        <v>10</v>
      </c>
      <c r="I110" s="47">
        <v>80</v>
      </c>
      <c r="J110" s="47" t="s">
        <v>119</v>
      </c>
      <c r="K110" s="47">
        <v>1809270</v>
      </c>
      <c r="L110" s="47">
        <v>1809270</v>
      </c>
      <c r="M110" s="50">
        <v>30</v>
      </c>
      <c r="N110" s="49">
        <v>46139</v>
      </c>
      <c r="O110" s="49">
        <v>46498</v>
      </c>
      <c r="P110" s="51">
        <v>583635</v>
      </c>
      <c r="Q110" s="49">
        <v>46224</v>
      </c>
      <c r="R110" s="49" t="s">
        <v>45</v>
      </c>
      <c r="S110" s="47" t="s">
        <v>46</v>
      </c>
      <c r="T110" s="49"/>
      <c r="U110" s="47"/>
      <c r="V110" s="47"/>
      <c r="W110" s="44"/>
      <c r="X110" s="47"/>
      <c r="Y110" s="47"/>
      <c r="Z110" s="47"/>
      <c r="AA110" s="47"/>
    </row>
    <row r="111" spans="1:27" x14ac:dyDescent="0.35">
      <c r="A111" s="47">
        <v>132</v>
      </c>
      <c r="B111" s="47">
        <v>1017283631</v>
      </c>
      <c r="C111" s="39">
        <v>4107413227078100</v>
      </c>
      <c r="D111" s="49">
        <v>46218</v>
      </c>
      <c r="E111" s="49" t="s">
        <v>67</v>
      </c>
      <c r="F111" s="49">
        <v>46177</v>
      </c>
      <c r="G111" s="49">
        <v>46206</v>
      </c>
      <c r="H111" s="47">
        <v>30</v>
      </c>
      <c r="I111" s="47">
        <v>104</v>
      </c>
      <c r="J111" s="47" t="s">
        <v>105</v>
      </c>
      <c r="K111" s="47" t="s">
        <v>158</v>
      </c>
      <c r="L111" s="47" t="s">
        <v>158</v>
      </c>
      <c r="M111" s="50" t="s">
        <v>70</v>
      </c>
      <c r="N111" s="49">
        <v>46079</v>
      </c>
      <c r="O111" s="49">
        <v>46438</v>
      </c>
      <c r="P111" s="51">
        <v>1750905</v>
      </c>
      <c r="Q111" s="49">
        <v>46224</v>
      </c>
      <c r="R111" s="49" t="s">
        <v>45</v>
      </c>
      <c r="S111" s="47" t="s">
        <v>46</v>
      </c>
      <c r="T111" s="49"/>
      <c r="U111" s="47"/>
      <c r="V111" s="47"/>
      <c r="W111" s="44"/>
      <c r="X111" s="47"/>
      <c r="Y111" s="47"/>
      <c r="Z111" s="47"/>
      <c r="AA111" s="47"/>
    </row>
    <row r="112" spans="1:27" x14ac:dyDescent="0.35">
      <c r="A112" s="47">
        <v>108</v>
      </c>
      <c r="B112" s="47">
        <v>1019004336</v>
      </c>
      <c r="C112" s="39">
        <v>4107413226967600</v>
      </c>
      <c r="D112" s="49">
        <v>46218</v>
      </c>
      <c r="E112" s="49" t="s">
        <v>67</v>
      </c>
      <c r="F112" s="49">
        <v>46119</v>
      </c>
      <c r="G112" s="49">
        <v>46178</v>
      </c>
      <c r="H112" s="47">
        <v>60</v>
      </c>
      <c r="I112" s="47">
        <v>172</v>
      </c>
      <c r="J112" s="47" t="s">
        <v>202</v>
      </c>
      <c r="K112" s="47" t="s">
        <v>159</v>
      </c>
      <c r="L112" s="47" t="s">
        <v>159</v>
      </c>
      <c r="M112" s="50" t="s">
        <v>76</v>
      </c>
      <c r="N112" s="49">
        <v>46003</v>
      </c>
      <c r="O112" s="49">
        <v>46362</v>
      </c>
      <c r="P112" s="51">
        <v>4342332</v>
      </c>
      <c r="Q112" s="49">
        <v>46224</v>
      </c>
      <c r="R112" s="49" t="s">
        <v>45</v>
      </c>
      <c r="S112" s="47" t="s">
        <v>46</v>
      </c>
      <c r="T112" s="49"/>
      <c r="U112" s="47"/>
      <c r="V112" s="47"/>
      <c r="W112" s="44"/>
      <c r="X112" s="47"/>
      <c r="Y112" s="47"/>
      <c r="Z112" s="47"/>
      <c r="AA112" s="47"/>
    </row>
    <row r="113" spans="1:27" x14ac:dyDescent="0.35">
      <c r="A113" s="47">
        <v>168</v>
      </c>
      <c r="B113" s="47">
        <v>1022387765</v>
      </c>
      <c r="C113" s="39">
        <v>190155014004000</v>
      </c>
      <c r="D113" s="49">
        <v>46218</v>
      </c>
      <c r="E113" s="52" t="s">
        <v>24</v>
      </c>
      <c r="F113" s="52">
        <v>46179</v>
      </c>
      <c r="G113" s="52">
        <v>46228</v>
      </c>
      <c r="H113" s="47">
        <v>50</v>
      </c>
      <c r="I113" s="47">
        <v>50</v>
      </c>
      <c r="J113" s="47" t="s">
        <v>160</v>
      </c>
      <c r="K113" s="47" t="s">
        <v>93</v>
      </c>
      <c r="L113" s="47" t="s">
        <v>93</v>
      </c>
      <c r="M113" s="50" t="s">
        <v>70</v>
      </c>
      <c r="N113" s="49">
        <v>46179</v>
      </c>
      <c r="O113" s="49">
        <v>46538</v>
      </c>
      <c r="P113" s="51">
        <v>2918175</v>
      </c>
      <c r="Q113" s="49">
        <v>46224</v>
      </c>
      <c r="R113" s="49" t="s">
        <v>45</v>
      </c>
      <c r="S113" s="47" t="s">
        <v>46</v>
      </c>
      <c r="T113" s="49"/>
      <c r="U113" s="47"/>
      <c r="V113" s="47"/>
      <c r="W113" s="44"/>
      <c r="X113" s="47"/>
      <c r="Y113" s="47"/>
      <c r="Z113" s="47"/>
      <c r="AA113" s="47"/>
    </row>
    <row r="114" spans="1:27" x14ac:dyDescent="0.35">
      <c r="A114" s="47">
        <v>111</v>
      </c>
      <c r="B114" s="47">
        <v>1022428962</v>
      </c>
      <c r="C114" s="39">
        <v>4107413226970200</v>
      </c>
      <c r="D114" s="49">
        <v>46218</v>
      </c>
      <c r="E114" s="49" t="s">
        <v>67</v>
      </c>
      <c r="F114" s="49">
        <v>46216</v>
      </c>
      <c r="G114" s="49">
        <v>46243</v>
      </c>
      <c r="H114" s="47">
        <v>28</v>
      </c>
      <c r="I114" s="47">
        <v>237</v>
      </c>
      <c r="J114" s="47" t="s">
        <v>161</v>
      </c>
      <c r="K114" s="47" t="s">
        <v>78</v>
      </c>
      <c r="L114" s="47" t="s">
        <v>78</v>
      </c>
      <c r="M114" s="50" t="s">
        <v>70</v>
      </c>
      <c r="N114" s="49">
        <v>46006</v>
      </c>
      <c r="O114" s="49">
        <v>46365</v>
      </c>
      <c r="P114" s="51">
        <v>1634178</v>
      </c>
      <c r="Q114" s="49">
        <v>46224</v>
      </c>
      <c r="R114" s="49" t="s">
        <v>45</v>
      </c>
      <c r="S114" s="47" t="s">
        <v>46</v>
      </c>
      <c r="T114" s="49"/>
      <c r="U114" s="47"/>
      <c r="V114" s="47"/>
      <c r="W114" s="44"/>
      <c r="X114" s="47"/>
      <c r="Y114" s="47"/>
      <c r="Z114" s="47"/>
      <c r="AA114" s="47"/>
    </row>
    <row r="115" spans="1:27" x14ac:dyDescent="0.35">
      <c r="A115" s="47">
        <v>159</v>
      </c>
      <c r="B115" s="47">
        <v>1023162280</v>
      </c>
      <c r="C115" s="39">
        <v>102621013627300</v>
      </c>
      <c r="D115" s="49">
        <v>46218</v>
      </c>
      <c r="E115" s="49" t="s">
        <v>67</v>
      </c>
      <c r="F115" s="49">
        <v>46213</v>
      </c>
      <c r="G115" s="49">
        <v>46242</v>
      </c>
      <c r="H115" s="47">
        <v>30</v>
      </c>
      <c r="I115" s="47">
        <v>40</v>
      </c>
      <c r="J115" s="47" t="s">
        <v>162</v>
      </c>
      <c r="K115" s="47" t="s">
        <v>163</v>
      </c>
      <c r="L115" s="47" t="s">
        <v>163</v>
      </c>
      <c r="M115" s="50" t="s">
        <v>70</v>
      </c>
      <c r="N115" s="49">
        <v>46197</v>
      </c>
      <c r="O115" s="49">
        <v>46556</v>
      </c>
      <c r="P115" s="51">
        <v>1750905</v>
      </c>
      <c r="Q115" s="49">
        <v>46224</v>
      </c>
      <c r="R115" s="49" t="s">
        <v>45</v>
      </c>
      <c r="S115" s="47" t="s">
        <v>46</v>
      </c>
      <c r="T115" s="49"/>
      <c r="U115" s="47"/>
      <c r="V115" s="47"/>
      <c r="W115" s="44"/>
      <c r="X115" s="47"/>
      <c r="Y115" s="47"/>
      <c r="Z115" s="47"/>
      <c r="AA115" s="47"/>
    </row>
    <row r="116" spans="1:27" x14ac:dyDescent="0.35">
      <c r="A116" s="47">
        <v>113</v>
      </c>
      <c r="B116" s="47">
        <v>1023362177</v>
      </c>
      <c r="C116" s="39">
        <v>4107413226997500</v>
      </c>
      <c r="D116" s="49">
        <v>46218</v>
      </c>
      <c r="E116" s="49" t="s">
        <v>67</v>
      </c>
      <c r="F116" s="49">
        <v>46213</v>
      </c>
      <c r="G116" s="49">
        <v>46232</v>
      </c>
      <c r="H116" s="47">
        <v>20</v>
      </c>
      <c r="I116" s="47">
        <v>175</v>
      </c>
      <c r="J116" s="47" t="s">
        <v>98</v>
      </c>
      <c r="K116" s="47">
        <v>1750905</v>
      </c>
      <c r="L116" s="47">
        <v>1750905</v>
      </c>
      <c r="M116" s="50">
        <v>30</v>
      </c>
      <c r="N116" s="49">
        <v>46052</v>
      </c>
      <c r="O116" s="49">
        <v>46411</v>
      </c>
      <c r="P116" s="51">
        <v>1167270</v>
      </c>
      <c r="Q116" s="49">
        <v>46224</v>
      </c>
      <c r="R116" s="49" t="s">
        <v>45</v>
      </c>
      <c r="S116" s="47" t="s">
        <v>46</v>
      </c>
      <c r="T116" s="49"/>
      <c r="U116" s="47"/>
      <c r="V116" s="47"/>
      <c r="W116" s="44"/>
      <c r="X116" s="47"/>
      <c r="Y116" s="47"/>
      <c r="Z116" s="47"/>
      <c r="AA116" s="47"/>
    </row>
    <row r="117" spans="1:27" x14ac:dyDescent="0.35">
      <c r="A117" s="47">
        <v>128</v>
      </c>
      <c r="B117" s="47">
        <v>1024518214</v>
      </c>
      <c r="C117" s="39">
        <v>4107413226988200</v>
      </c>
      <c r="D117" s="49">
        <v>46218</v>
      </c>
      <c r="E117" s="49" t="s">
        <v>67</v>
      </c>
      <c r="F117" s="49">
        <v>46160</v>
      </c>
      <c r="G117" s="49">
        <v>46188</v>
      </c>
      <c r="H117" s="47">
        <v>29</v>
      </c>
      <c r="I117" s="47">
        <v>359</v>
      </c>
      <c r="J117" s="47" t="s">
        <v>95</v>
      </c>
      <c r="K117" s="47" t="s">
        <v>164</v>
      </c>
      <c r="L117" s="47" t="s">
        <v>164</v>
      </c>
      <c r="M117" s="50" t="s">
        <v>70</v>
      </c>
      <c r="N117" s="49">
        <v>45829</v>
      </c>
      <c r="O117" s="49">
        <v>46188</v>
      </c>
      <c r="P117" s="51">
        <v>1692542</v>
      </c>
      <c r="Q117" s="49">
        <v>46224</v>
      </c>
      <c r="R117" s="49" t="s">
        <v>45</v>
      </c>
      <c r="S117" s="47" t="s">
        <v>46</v>
      </c>
      <c r="T117" s="49"/>
      <c r="U117" s="47"/>
      <c r="V117" s="47"/>
      <c r="W117" s="44"/>
      <c r="X117" s="47"/>
      <c r="Y117" s="47"/>
      <c r="Z117" s="47"/>
      <c r="AA117" s="47"/>
    </row>
    <row r="118" spans="1:27" x14ac:dyDescent="0.35">
      <c r="A118" s="47">
        <v>120</v>
      </c>
      <c r="B118" s="47">
        <v>1027400803</v>
      </c>
      <c r="C118" s="39">
        <v>4107413227042200</v>
      </c>
      <c r="D118" s="49">
        <v>46218</v>
      </c>
      <c r="E118" s="49" t="s">
        <v>67</v>
      </c>
      <c r="F118" s="49">
        <v>46214</v>
      </c>
      <c r="G118" s="49">
        <v>46227</v>
      </c>
      <c r="H118" s="47">
        <v>14</v>
      </c>
      <c r="I118" s="47">
        <v>85</v>
      </c>
      <c r="J118" s="47" t="s">
        <v>165</v>
      </c>
      <c r="K118" s="47">
        <v>1750906</v>
      </c>
      <c r="L118" s="47">
        <v>1750906</v>
      </c>
      <c r="M118" s="50">
        <v>30</v>
      </c>
      <c r="N118" s="49">
        <v>46142</v>
      </c>
      <c r="O118" s="49">
        <v>46501</v>
      </c>
      <c r="P118" s="51">
        <v>817089</v>
      </c>
      <c r="Q118" s="49">
        <v>46224</v>
      </c>
      <c r="R118" s="49" t="s">
        <v>45</v>
      </c>
      <c r="S118" s="47" t="s">
        <v>46</v>
      </c>
      <c r="T118" s="49"/>
      <c r="U118" s="47"/>
      <c r="V118" s="47"/>
      <c r="W118" s="44"/>
      <c r="X118" s="47"/>
      <c r="Y118" s="47"/>
      <c r="Z118" s="47"/>
      <c r="AA118" s="47"/>
    </row>
    <row r="119" spans="1:27" x14ac:dyDescent="0.35">
      <c r="A119" s="47">
        <v>12</v>
      </c>
      <c r="B119" s="47">
        <v>1027884962</v>
      </c>
      <c r="C119" s="39">
        <v>102222026959500</v>
      </c>
      <c r="D119" s="49">
        <v>46219</v>
      </c>
      <c r="E119" s="49" t="s">
        <v>67</v>
      </c>
      <c r="F119" s="49">
        <v>46209</v>
      </c>
      <c r="G119" s="49">
        <v>46238</v>
      </c>
      <c r="H119" s="47">
        <v>30</v>
      </c>
      <c r="I119" s="47">
        <v>137</v>
      </c>
      <c r="J119" s="47" t="s">
        <v>236</v>
      </c>
      <c r="K119" s="47" t="s">
        <v>166</v>
      </c>
      <c r="L119" s="47" t="s">
        <v>166</v>
      </c>
      <c r="M119" s="50" t="s">
        <v>70</v>
      </c>
      <c r="N119" s="49">
        <v>46099</v>
      </c>
      <c r="O119" s="49">
        <v>46458</v>
      </c>
      <c r="P119" s="51">
        <v>1750905</v>
      </c>
      <c r="Q119" s="49">
        <v>46224</v>
      </c>
      <c r="R119" s="49" t="s">
        <v>45</v>
      </c>
      <c r="S119" s="47" t="s">
        <v>46</v>
      </c>
      <c r="T119" s="49"/>
      <c r="U119" s="47"/>
      <c r="V119" s="47"/>
      <c r="W119" s="44"/>
      <c r="X119" s="47"/>
      <c r="Y119" s="47"/>
      <c r="Z119" s="47"/>
      <c r="AA119" s="47"/>
    </row>
    <row r="120" spans="1:27" x14ac:dyDescent="0.35">
      <c r="A120" s="47">
        <v>103</v>
      </c>
      <c r="B120" s="47">
        <v>1035229424</v>
      </c>
      <c r="C120" s="39">
        <v>102222026958200</v>
      </c>
      <c r="D120" s="49">
        <v>46219</v>
      </c>
      <c r="E120" s="49" t="s">
        <v>67</v>
      </c>
      <c r="F120" s="49">
        <v>46203</v>
      </c>
      <c r="G120" s="49">
        <v>46232</v>
      </c>
      <c r="H120" s="47">
        <v>30</v>
      </c>
      <c r="I120" s="47">
        <v>121</v>
      </c>
      <c r="J120" s="47" t="s">
        <v>167</v>
      </c>
      <c r="K120" s="47" t="s">
        <v>78</v>
      </c>
      <c r="L120" s="47" t="s">
        <v>78</v>
      </c>
      <c r="M120" s="50" t="s">
        <v>70</v>
      </c>
      <c r="N120" s="49">
        <v>46080</v>
      </c>
      <c r="O120" s="49">
        <v>46439</v>
      </c>
      <c r="P120" s="51">
        <v>1750905</v>
      </c>
      <c r="Q120" s="49">
        <v>46224</v>
      </c>
      <c r="R120" s="49" t="s">
        <v>45</v>
      </c>
      <c r="S120" s="47" t="s">
        <v>46</v>
      </c>
      <c r="T120" s="49"/>
      <c r="U120" s="47"/>
      <c r="V120" s="47"/>
      <c r="W120" s="44"/>
      <c r="X120" s="47"/>
      <c r="Y120" s="47"/>
      <c r="Z120" s="47"/>
      <c r="AA120" s="47"/>
    </row>
    <row r="121" spans="1:27" x14ac:dyDescent="0.35">
      <c r="A121" s="47">
        <v>20</v>
      </c>
      <c r="B121" s="47">
        <v>1036617573</v>
      </c>
      <c r="C121" s="39">
        <v>102222026961100</v>
      </c>
      <c r="D121" s="49">
        <v>46219</v>
      </c>
      <c r="E121" s="49" t="s">
        <v>67</v>
      </c>
      <c r="F121" s="49">
        <v>46211</v>
      </c>
      <c r="G121" s="49">
        <v>46240</v>
      </c>
      <c r="H121" s="47">
        <v>30</v>
      </c>
      <c r="I121" s="47">
        <v>32</v>
      </c>
      <c r="J121" s="47" t="s">
        <v>226</v>
      </c>
      <c r="K121" s="47" t="s">
        <v>108</v>
      </c>
      <c r="L121" s="47" t="s">
        <v>108</v>
      </c>
      <c r="M121" s="50" t="s">
        <v>70</v>
      </c>
      <c r="N121" s="49">
        <v>46209</v>
      </c>
      <c r="O121" s="49">
        <v>46568</v>
      </c>
      <c r="P121" s="51">
        <v>1750905</v>
      </c>
      <c r="Q121" s="49">
        <v>46224</v>
      </c>
      <c r="R121" s="49" t="s">
        <v>45</v>
      </c>
      <c r="S121" s="47" t="s">
        <v>46</v>
      </c>
      <c r="T121" s="49"/>
      <c r="U121" s="47"/>
      <c r="V121" s="47"/>
      <c r="W121" s="44"/>
      <c r="X121" s="47"/>
      <c r="Y121" s="47"/>
      <c r="Z121" s="47"/>
      <c r="AA121" s="47"/>
    </row>
    <row r="122" spans="1:27" x14ac:dyDescent="0.35">
      <c r="A122" s="47">
        <v>94</v>
      </c>
      <c r="B122" s="47">
        <v>1037578726</v>
      </c>
      <c r="C122" s="39">
        <v>102222026957700</v>
      </c>
      <c r="D122" s="49">
        <v>46219</v>
      </c>
      <c r="E122" s="49" t="s">
        <v>67</v>
      </c>
      <c r="F122" s="49">
        <v>46216</v>
      </c>
      <c r="G122" s="49">
        <v>46220</v>
      </c>
      <c r="H122" s="47">
        <v>5</v>
      </c>
      <c r="I122" s="47">
        <v>240</v>
      </c>
      <c r="J122" s="47" t="s">
        <v>105</v>
      </c>
      <c r="K122" s="47">
        <v>1750905</v>
      </c>
      <c r="L122" s="47">
        <v>1750905</v>
      </c>
      <c r="M122" s="50">
        <v>30</v>
      </c>
      <c r="N122" s="49">
        <v>45980</v>
      </c>
      <c r="O122" s="49">
        <v>46339</v>
      </c>
      <c r="P122" s="51">
        <v>291818</v>
      </c>
      <c r="Q122" s="49">
        <v>46224</v>
      </c>
      <c r="R122" s="49" t="s">
        <v>45</v>
      </c>
      <c r="S122" s="47" t="s">
        <v>46</v>
      </c>
      <c r="T122" s="49"/>
      <c r="U122" s="47"/>
      <c r="V122" s="47"/>
      <c r="W122" s="44"/>
      <c r="X122" s="47"/>
      <c r="Y122" s="47"/>
      <c r="Z122" s="47"/>
      <c r="AA122" s="47"/>
    </row>
    <row r="123" spans="1:27" x14ac:dyDescent="0.35">
      <c r="A123" s="47">
        <v>87</v>
      </c>
      <c r="B123" s="47">
        <v>1039422530</v>
      </c>
      <c r="C123" s="39">
        <v>102222026961000</v>
      </c>
      <c r="D123" s="49">
        <v>46219</v>
      </c>
      <c r="E123" s="49" t="s">
        <v>67</v>
      </c>
      <c r="F123" s="49">
        <v>46196</v>
      </c>
      <c r="G123" s="49">
        <v>46225</v>
      </c>
      <c r="H123" s="47">
        <v>30</v>
      </c>
      <c r="I123" s="47">
        <v>207</v>
      </c>
      <c r="J123" s="47" t="s">
        <v>89</v>
      </c>
      <c r="K123" s="47" t="s">
        <v>78</v>
      </c>
      <c r="L123" s="47" t="s">
        <v>78</v>
      </c>
      <c r="M123" s="50" t="s">
        <v>70</v>
      </c>
      <c r="N123" s="49">
        <v>46019</v>
      </c>
      <c r="O123" s="49">
        <v>46378</v>
      </c>
      <c r="P123" s="51">
        <v>1750905</v>
      </c>
      <c r="Q123" s="49">
        <v>46224</v>
      </c>
      <c r="R123" s="49" t="s">
        <v>45</v>
      </c>
      <c r="S123" s="47" t="s">
        <v>46</v>
      </c>
      <c r="T123" s="49"/>
      <c r="U123" s="47"/>
      <c r="V123" s="47"/>
      <c r="W123" s="44"/>
      <c r="X123" s="47"/>
      <c r="Y123" s="47"/>
      <c r="Z123" s="47"/>
      <c r="AA123" s="47"/>
    </row>
    <row r="124" spans="1:27" x14ac:dyDescent="0.35">
      <c r="A124" s="47">
        <v>130</v>
      </c>
      <c r="B124" s="47">
        <v>1040045694</v>
      </c>
      <c r="C124" s="39">
        <v>102621013642400</v>
      </c>
      <c r="D124" s="49">
        <v>46218</v>
      </c>
      <c r="E124" s="49" t="s">
        <v>67</v>
      </c>
      <c r="F124" s="49">
        <v>46180</v>
      </c>
      <c r="G124" s="49">
        <v>46239</v>
      </c>
      <c r="H124" s="47">
        <v>60</v>
      </c>
      <c r="I124" s="47">
        <v>334</v>
      </c>
      <c r="J124" s="47" t="s">
        <v>168</v>
      </c>
      <c r="K124" s="47" t="s">
        <v>169</v>
      </c>
      <c r="L124" s="47" t="s">
        <v>169</v>
      </c>
      <c r="M124" s="50" t="s">
        <v>76</v>
      </c>
      <c r="N124" s="49">
        <v>45906</v>
      </c>
      <c r="O124" s="49">
        <v>46265</v>
      </c>
      <c r="P124" s="51">
        <v>3501810</v>
      </c>
      <c r="Q124" s="49">
        <v>46224</v>
      </c>
      <c r="R124" s="49" t="s">
        <v>45</v>
      </c>
      <c r="S124" s="47" t="s">
        <v>46</v>
      </c>
      <c r="T124" s="49"/>
      <c r="U124" s="47"/>
      <c r="V124" s="47"/>
      <c r="W124" s="44"/>
      <c r="X124" s="47"/>
      <c r="Y124" s="47"/>
      <c r="Z124" s="47"/>
      <c r="AA124" s="47"/>
    </row>
    <row r="125" spans="1:27" x14ac:dyDescent="0.35">
      <c r="A125" s="47">
        <v>107</v>
      </c>
      <c r="B125" s="47">
        <v>1040738387</v>
      </c>
      <c r="C125" s="39">
        <v>102222026959100</v>
      </c>
      <c r="D125" s="49">
        <v>46219</v>
      </c>
      <c r="E125" s="49" t="s">
        <v>67</v>
      </c>
      <c r="F125" s="49">
        <v>46210</v>
      </c>
      <c r="G125" s="49">
        <v>46239</v>
      </c>
      <c r="H125" s="47">
        <v>30</v>
      </c>
      <c r="I125" s="47">
        <v>143</v>
      </c>
      <c r="J125" s="47" t="s">
        <v>226</v>
      </c>
      <c r="K125" s="47" t="s">
        <v>170</v>
      </c>
      <c r="L125" s="47" t="s">
        <v>170</v>
      </c>
      <c r="M125" s="50" t="s">
        <v>70</v>
      </c>
      <c r="N125" s="49">
        <v>46077</v>
      </c>
      <c r="O125" s="49">
        <v>46436</v>
      </c>
      <c r="P125" s="51">
        <v>1910966</v>
      </c>
      <c r="Q125" s="49">
        <v>46224</v>
      </c>
      <c r="R125" s="49" t="s">
        <v>45</v>
      </c>
      <c r="S125" s="47" t="s">
        <v>46</v>
      </c>
      <c r="T125" s="49"/>
      <c r="U125" s="47"/>
      <c r="V125" s="47"/>
      <c r="W125" s="44"/>
      <c r="X125" s="47"/>
      <c r="Y125" s="47"/>
      <c r="Z125" s="47"/>
      <c r="AA125" s="47"/>
    </row>
    <row r="126" spans="1:27" x14ac:dyDescent="0.35">
      <c r="A126" s="47">
        <v>30</v>
      </c>
      <c r="B126" s="47">
        <v>1042465798</v>
      </c>
      <c r="C126" s="39">
        <v>104707041298600</v>
      </c>
      <c r="D126" s="49">
        <v>46219</v>
      </c>
      <c r="E126" s="49" t="s">
        <v>67</v>
      </c>
      <c r="F126" s="49">
        <v>46185</v>
      </c>
      <c r="G126" s="49">
        <v>46226</v>
      </c>
      <c r="H126" s="47">
        <v>42</v>
      </c>
      <c r="I126" s="47">
        <v>230</v>
      </c>
      <c r="J126" s="47" t="s">
        <v>168</v>
      </c>
      <c r="K126" s="47" t="s">
        <v>78</v>
      </c>
      <c r="L126" s="47" t="s">
        <v>78</v>
      </c>
      <c r="M126" s="50" t="s">
        <v>70</v>
      </c>
      <c r="N126" s="49">
        <v>45997</v>
      </c>
      <c r="O126" s="49">
        <v>46356</v>
      </c>
      <c r="P126" s="51">
        <v>2451267</v>
      </c>
      <c r="Q126" s="49">
        <v>46224</v>
      </c>
      <c r="R126" s="49" t="s">
        <v>45</v>
      </c>
      <c r="S126" s="47" t="s">
        <v>46</v>
      </c>
      <c r="T126" s="49"/>
      <c r="U126" s="47"/>
      <c r="V126" s="47"/>
      <c r="W126" s="44"/>
      <c r="X126" s="47"/>
      <c r="Y126" s="47"/>
      <c r="Z126" s="47"/>
      <c r="AA126" s="47"/>
    </row>
    <row r="127" spans="1:27" x14ac:dyDescent="0.35">
      <c r="A127" s="47">
        <v>75</v>
      </c>
      <c r="B127" s="47">
        <v>1045674364</v>
      </c>
      <c r="C127" s="39">
        <v>104782020467600</v>
      </c>
      <c r="D127" s="49">
        <v>46219</v>
      </c>
      <c r="E127" s="49" t="s">
        <v>67</v>
      </c>
      <c r="F127" s="49">
        <v>46212</v>
      </c>
      <c r="G127" s="49">
        <v>46241</v>
      </c>
      <c r="H127" s="47">
        <v>30</v>
      </c>
      <c r="I127" s="47">
        <v>100</v>
      </c>
      <c r="J127" s="47" t="s">
        <v>105</v>
      </c>
      <c r="K127" s="47" t="s">
        <v>93</v>
      </c>
      <c r="L127" s="47" t="s">
        <v>93</v>
      </c>
      <c r="M127" s="50" t="s">
        <v>70</v>
      </c>
      <c r="N127" s="49">
        <v>46142</v>
      </c>
      <c r="O127" s="49">
        <v>46501</v>
      </c>
      <c r="P127" s="51">
        <v>1750905</v>
      </c>
      <c r="Q127" s="49">
        <v>46224</v>
      </c>
      <c r="R127" s="49" t="s">
        <v>45</v>
      </c>
      <c r="S127" s="47" t="s">
        <v>46</v>
      </c>
      <c r="T127" s="49"/>
      <c r="U127" s="47"/>
      <c r="V127" s="47"/>
      <c r="W127" s="44"/>
      <c r="X127" s="47"/>
      <c r="Y127" s="47"/>
      <c r="Z127" s="47"/>
      <c r="AA127" s="47"/>
    </row>
    <row r="128" spans="1:27" x14ac:dyDescent="0.35">
      <c r="A128" s="47">
        <v>24</v>
      </c>
      <c r="B128" s="47">
        <v>1049637921</v>
      </c>
      <c r="C128" s="39">
        <v>106501014987300</v>
      </c>
      <c r="D128" s="49">
        <v>46219</v>
      </c>
      <c r="E128" s="49" t="s">
        <v>67</v>
      </c>
      <c r="F128" s="49">
        <v>46153</v>
      </c>
      <c r="G128" s="49">
        <v>46182</v>
      </c>
      <c r="H128" s="47">
        <v>30</v>
      </c>
      <c r="I128" s="47">
        <v>298</v>
      </c>
      <c r="J128" s="47" t="s">
        <v>129</v>
      </c>
      <c r="K128" s="47" t="s">
        <v>78</v>
      </c>
      <c r="L128" s="47" t="s">
        <v>78</v>
      </c>
      <c r="M128" s="50" t="s">
        <v>70</v>
      </c>
      <c r="N128" s="49">
        <v>45885</v>
      </c>
      <c r="O128" s="49">
        <v>46244</v>
      </c>
      <c r="P128" s="51">
        <v>1750905</v>
      </c>
      <c r="Q128" s="49">
        <v>46224</v>
      </c>
      <c r="R128" s="49" t="s">
        <v>45</v>
      </c>
      <c r="S128" s="47" t="s">
        <v>46</v>
      </c>
      <c r="T128" s="49"/>
      <c r="U128" s="47"/>
      <c r="V128" s="47"/>
      <c r="W128" s="44"/>
      <c r="X128" s="47"/>
      <c r="Y128" s="47"/>
      <c r="Z128" s="47"/>
      <c r="AA128" s="47"/>
    </row>
    <row r="129" spans="1:27" x14ac:dyDescent="0.35">
      <c r="A129" s="47">
        <v>25</v>
      </c>
      <c r="B129" s="47">
        <v>1050544738</v>
      </c>
      <c r="C129" s="39">
        <v>104786016768900</v>
      </c>
      <c r="D129" s="49">
        <v>46219</v>
      </c>
      <c r="E129" s="49" t="s">
        <v>67</v>
      </c>
      <c r="F129" s="49">
        <v>46169</v>
      </c>
      <c r="G129" s="49">
        <v>46203</v>
      </c>
      <c r="H129" s="47">
        <v>35</v>
      </c>
      <c r="I129" s="47">
        <v>255</v>
      </c>
      <c r="J129" s="47" t="s">
        <v>218</v>
      </c>
      <c r="K129" s="47" t="s">
        <v>171</v>
      </c>
      <c r="L129" s="47" t="s">
        <v>171</v>
      </c>
      <c r="M129" s="50" t="s">
        <v>70</v>
      </c>
      <c r="N129" s="49">
        <v>45943</v>
      </c>
      <c r="O129" s="49">
        <v>46302</v>
      </c>
      <c r="P129" s="51">
        <v>2340013</v>
      </c>
      <c r="Q129" s="49">
        <v>46224</v>
      </c>
      <c r="R129" s="49" t="s">
        <v>45</v>
      </c>
      <c r="S129" s="47" t="s">
        <v>46</v>
      </c>
      <c r="T129" s="49"/>
      <c r="U129" s="47"/>
      <c r="V129" s="47"/>
      <c r="W129" s="44"/>
      <c r="X129" s="47"/>
      <c r="Y129" s="47"/>
      <c r="Z129" s="47"/>
      <c r="AA129" s="47"/>
    </row>
    <row r="130" spans="1:27" x14ac:dyDescent="0.35">
      <c r="A130" s="47">
        <v>42</v>
      </c>
      <c r="B130" s="47">
        <v>1053336939</v>
      </c>
      <c r="C130" s="39">
        <v>4107413227171100</v>
      </c>
      <c r="D130" s="49">
        <v>46219</v>
      </c>
      <c r="E130" s="49" t="s">
        <v>67</v>
      </c>
      <c r="F130" s="49">
        <v>46192</v>
      </c>
      <c r="G130" s="49">
        <v>46201</v>
      </c>
      <c r="H130" s="47">
        <v>10</v>
      </c>
      <c r="I130" s="47">
        <v>135</v>
      </c>
      <c r="J130" s="47" t="s">
        <v>102</v>
      </c>
      <c r="K130" s="47">
        <v>1750906</v>
      </c>
      <c r="L130" s="47">
        <v>1750906</v>
      </c>
      <c r="M130" s="50">
        <v>30</v>
      </c>
      <c r="N130" s="49">
        <v>46007</v>
      </c>
      <c r="O130" s="49">
        <v>46366</v>
      </c>
      <c r="P130" s="51">
        <v>583635</v>
      </c>
      <c r="Q130" s="49">
        <v>46224</v>
      </c>
      <c r="R130" s="49" t="s">
        <v>45</v>
      </c>
      <c r="S130" s="47" t="s">
        <v>46</v>
      </c>
      <c r="T130" s="49"/>
      <c r="U130" s="47"/>
      <c r="V130" s="47"/>
      <c r="W130" s="44"/>
      <c r="X130" s="47"/>
      <c r="Y130" s="47"/>
      <c r="Z130" s="47"/>
      <c r="AA130" s="47"/>
    </row>
    <row r="131" spans="1:27" x14ac:dyDescent="0.35">
      <c r="A131" s="47">
        <v>43</v>
      </c>
      <c r="B131" s="47">
        <v>1053336939</v>
      </c>
      <c r="C131" s="39">
        <v>4107413227171200</v>
      </c>
      <c r="D131" s="49">
        <v>46219</v>
      </c>
      <c r="E131" s="49" t="s">
        <v>67</v>
      </c>
      <c r="F131" s="49">
        <v>46204</v>
      </c>
      <c r="G131" s="49">
        <v>46228</v>
      </c>
      <c r="H131" s="47">
        <v>25</v>
      </c>
      <c r="I131" s="47">
        <v>160</v>
      </c>
      <c r="J131" s="47" t="s">
        <v>102</v>
      </c>
      <c r="K131" s="47">
        <v>1750906</v>
      </c>
      <c r="L131" s="47">
        <v>1750906</v>
      </c>
      <c r="M131" s="50">
        <v>30</v>
      </c>
      <c r="N131" s="40">
        <v>46007</v>
      </c>
      <c r="O131" s="49">
        <v>46366</v>
      </c>
      <c r="P131" s="51">
        <v>1459088</v>
      </c>
      <c r="Q131" s="49">
        <v>46224</v>
      </c>
      <c r="R131" s="49" t="s">
        <v>45</v>
      </c>
      <c r="S131" s="47" t="s">
        <v>46</v>
      </c>
      <c r="T131" s="49"/>
      <c r="U131" s="47"/>
      <c r="V131" s="47"/>
      <c r="W131" s="44"/>
      <c r="X131" s="47"/>
      <c r="Y131" s="47"/>
      <c r="Z131" s="47"/>
      <c r="AA131" s="47"/>
    </row>
    <row r="132" spans="1:27" x14ac:dyDescent="0.35">
      <c r="A132" s="47">
        <v>85</v>
      </c>
      <c r="B132" s="47">
        <v>1053815589</v>
      </c>
      <c r="C132" s="39">
        <v>105670020334300</v>
      </c>
      <c r="D132" s="49">
        <v>46219</v>
      </c>
      <c r="E132" s="49" t="s">
        <v>67</v>
      </c>
      <c r="F132" s="49">
        <v>46219</v>
      </c>
      <c r="G132" s="49">
        <v>46248</v>
      </c>
      <c r="H132" s="47">
        <v>30</v>
      </c>
      <c r="I132" s="47">
        <v>47</v>
      </c>
      <c r="J132" s="47" t="s">
        <v>172</v>
      </c>
      <c r="K132" s="47" t="s">
        <v>173</v>
      </c>
      <c r="L132" s="47" t="s">
        <v>173</v>
      </c>
      <c r="M132" s="50" t="s">
        <v>70</v>
      </c>
      <c r="N132" s="49">
        <v>46187</v>
      </c>
      <c r="O132" s="49">
        <v>46546</v>
      </c>
      <c r="P132" s="51">
        <v>1750905</v>
      </c>
      <c r="Q132" s="49">
        <v>46224</v>
      </c>
      <c r="R132" s="49" t="s">
        <v>45</v>
      </c>
      <c r="S132" s="47" t="s">
        <v>46</v>
      </c>
      <c r="T132" s="49"/>
      <c r="U132" s="47"/>
      <c r="V132" s="47"/>
      <c r="W132" s="44"/>
      <c r="X132" s="47"/>
      <c r="Y132" s="47"/>
      <c r="Z132" s="47"/>
      <c r="AA132" s="47"/>
    </row>
    <row r="133" spans="1:27" x14ac:dyDescent="0.35">
      <c r="A133" s="47">
        <v>10</v>
      </c>
      <c r="B133" s="47">
        <v>1053824885</v>
      </c>
      <c r="C133" s="39">
        <v>105670020330800</v>
      </c>
      <c r="D133" s="49">
        <v>46219</v>
      </c>
      <c r="E133" s="49" t="s">
        <v>67</v>
      </c>
      <c r="F133" s="49">
        <v>46214</v>
      </c>
      <c r="G133" s="49">
        <v>46236</v>
      </c>
      <c r="H133" s="47">
        <v>23</v>
      </c>
      <c r="I133" s="47">
        <v>278</v>
      </c>
      <c r="J133" s="47" t="s">
        <v>174</v>
      </c>
      <c r="K133" s="47" t="s">
        <v>93</v>
      </c>
      <c r="L133" s="47" t="s">
        <v>93</v>
      </c>
      <c r="M133" s="50" t="s">
        <v>70</v>
      </c>
      <c r="N133" s="49">
        <v>45877</v>
      </c>
      <c r="O133" s="49">
        <v>46236</v>
      </c>
      <c r="P133" s="51">
        <v>1342361</v>
      </c>
      <c r="Q133" s="49">
        <v>46224</v>
      </c>
      <c r="R133" s="49" t="s">
        <v>45</v>
      </c>
      <c r="S133" s="47" t="s">
        <v>46</v>
      </c>
      <c r="T133" s="49"/>
      <c r="U133" s="47"/>
      <c r="V133" s="47"/>
      <c r="W133" s="44"/>
      <c r="X133" s="47"/>
      <c r="Y133" s="47"/>
      <c r="Z133" s="47"/>
      <c r="AA133" s="47"/>
    </row>
    <row r="134" spans="1:27" x14ac:dyDescent="0.35">
      <c r="A134" s="47">
        <v>18</v>
      </c>
      <c r="B134" s="47">
        <v>1053841444</v>
      </c>
      <c r="C134" s="39">
        <v>102222026959900</v>
      </c>
      <c r="D134" s="49">
        <v>46219</v>
      </c>
      <c r="E134" s="49" t="s">
        <v>67</v>
      </c>
      <c r="F134" s="49">
        <v>46217</v>
      </c>
      <c r="G134" s="49">
        <v>46246</v>
      </c>
      <c r="H134" s="47">
        <v>30</v>
      </c>
      <c r="I134" s="47">
        <v>215</v>
      </c>
      <c r="J134" s="47" t="s">
        <v>175</v>
      </c>
      <c r="K134" s="47" t="s">
        <v>78</v>
      </c>
      <c r="L134" s="47" t="s">
        <v>78</v>
      </c>
      <c r="M134" s="50" t="s">
        <v>70</v>
      </c>
      <c r="N134" s="49">
        <v>46030</v>
      </c>
      <c r="O134" s="49">
        <v>46389</v>
      </c>
      <c r="P134" s="51">
        <v>1750905</v>
      </c>
      <c r="Q134" s="49">
        <v>46224</v>
      </c>
      <c r="R134" s="49" t="s">
        <v>45</v>
      </c>
      <c r="S134" s="47" t="s">
        <v>46</v>
      </c>
      <c r="T134" s="49"/>
      <c r="U134" s="47"/>
      <c r="V134" s="47"/>
      <c r="W134" s="44"/>
      <c r="X134" s="47"/>
      <c r="Y134" s="47"/>
      <c r="Z134" s="47"/>
      <c r="AA134" s="47"/>
    </row>
    <row r="135" spans="1:27" x14ac:dyDescent="0.35">
      <c r="A135" s="47">
        <v>166</v>
      </c>
      <c r="B135" s="47">
        <v>1054372637</v>
      </c>
      <c r="C135" s="39">
        <v>190155014008300</v>
      </c>
      <c r="D135" s="49">
        <v>46218</v>
      </c>
      <c r="E135" s="52" t="s">
        <v>24</v>
      </c>
      <c r="F135" s="52">
        <v>46098</v>
      </c>
      <c r="G135" s="52">
        <v>46101</v>
      </c>
      <c r="H135" s="47">
        <v>4</v>
      </c>
      <c r="I135" s="47">
        <v>4</v>
      </c>
      <c r="J135" s="47" t="s">
        <v>72</v>
      </c>
      <c r="K135" s="47">
        <v>1798670</v>
      </c>
      <c r="L135" s="47">
        <v>1798670</v>
      </c>
      <c r="M135" s="50">
        <v>30</v>
      </c>
      <c r="N135" s="49">
        <v>46080</v>
      </c>
      <c r="O135" s="49">
        <v>46439</v>
      </c>
      <c r="P135" s="51">
        <v>233454</v>
      </c>
      <c r="Q135" s="49">
        <v>46224</v>
      </c>
      <c r="R135" s="49" t="s">
        <v>45</v>
      </c>
      <c r="S135" s="47" t="s">
        <v>46</v>
      </c>
      <c r="T135" s="49"/>
      <c r="U135" s="47"/>
      <c r="V135" s="47"/>
      <c r="W135" s="44" t="s">
        <v>176</v>
      </c>
      <c r="X135" s="47"/>
      <c r="Y135" s="47"/>
      <c r="Z135" s="47"/>
      <c r="AA135" s="47"/>
    </row>
    <row r="136" spans="1:27" x14ac:dyDescent="0.35">
      <c r="A136" s="47">
        <v>35</v>
      </c>
      <c r="B136" s="47">
        <v>1054557423</v>
      </c>
      <c r="C136" s="39">
        <v>4100292633335500</v>
      </c>
      <c r="D136" s="49">
        <v>46218</v>
      </c>
      <c r="E136" s="49" t="s">
        <v>67</v>
      </c>
      <c r="F136" s="49">
        <v>46163</v>
      </c>
      <c r="G136" s="49">
        <v>46177</v>
      </c>
      <c r="H136" s="47">
        <v>15</v>
      </c>
      <c r="I136" s="47">
        <v>74</v>
      </c>
      <c r="J136" s="47" t="s">
        <v>177</v>
      </c>
      <c r="K136" s="47" t="s">
        <v>78</v>
      </c>
      <c r="L136" s="47" t="s">
        <v>78</v>
      </c>
      <c r="M136" s="50" t="s">
        <v>70</v>
      </c>
      <c r="N136" s="49">
        <v>45998</v>
      </c>
      <c r="O136" s="49">
        <v>46357</v>
      </c>
      <c r="P136" s="51">
        <v>875453</v>
      </c>
      <c r="Q136" s="49">
        <v>46224</v>
      </c>
      <c r="R136" s="49" t="s">
        <v>45</v>
      </c>
      <c r="S136" s="47" t="s">
        <v>46</v>
      </c>
      <c r="T136" s="49"/>
      <c r="U136" s="47"/>
      <c r="V136" s="47"/>
      <c r="W136" s="44"/>
      <c r="X136" s="47"/>
      <c r="Y136" s="47"/>
      <c r="Z136" s="47"/>
      <c r="AA136" s="47"/>
    </row>
    <row r="137" spans="1:27" x14ac:dyDescent="0.35">
      <c r="A137" s="47">
        <v>34</v>
      </c>
      <c r="B137" s="47">
        <v>1054557423</v>
      </c>
      <c r="C137" s="39">
        <v>4100292633335600</v>
      </c>
      <c r="D137" s="49">
        <v>46218</v>
      </c>
      <c r="E137" s="49" t="s">
        <v>67</v>
      </c>
      <c r="F137" s="49">
        <v>46178</v>
      </c>
      <c r="G137" s="49">
        <v>46198</v>
      </c>
      <c r="H137" s="47">
        <v>21</v>
      </c>
      <c r="I137" s="47">
        <v>95</v>
      </c>
      <c r="J137" s="47" t="s">
        <v>178</v>
      </c>
      <c r="K137" s="47">
        <v>1750905</v>
      </c>
      <c r="L137" s="47">
        <v>1750905</v>
      </c>
      <c r="M137" s="50">
        <v>30</v>
      </c>
      <c r="N137" s="49">
        <v>45998</v>
      </c>
      <c r="O137" s="49">
        <v>46357</v>
      </c>
      <c r="P137" s="51">
        <v>1225634</v>
      </c>
      <c r="Q137" s="49">
        <v>46224</v>
      </c>
      <c r="R137" s="49" t="s">
        <v>45</v>
      </c>
      <c r="S137" s="47" t="s">
        <v>46</v>
      </c>
      <c r="T137" s="49"/>
      <c r="U137" s="47"/>
      <c r="V137" s="47"/>
      <c r="W137" s="44"/>
      <c r="X137" s="47"/>
      <c r="Y137" s="47"/>
      <c r="Z137" s="47"/>
      <c r="AA137" s="47"/>
    </row>
    <row r="138" spans="1:27" x14ac:dyDescent="0.35">
      <c r="A138" s="47">
        <v>117</v>
      </c>
      <c r="B138" s="47">
        <v>1057597485</v>
      </c>
      <c r="C138" s="39">
        <v>4107413227039400</v>
      </c>
      <c r="D138" s="49">
        <v>46218</v>
      </c>
      <c r="E138" s="49" t="s">
        <v>67</v>
      </c>
      <c r="F138" s="49">
        <v>46213</v>
      </c>
      <c r="G138" s="49">
        <v>46226</v>
      </c>
      <c r="H138" s="47">
        <v>14</v>
      </c>
      <c r="I138" s="47">
        <v>209</v>
      </c>
      <c r="J138" s="47" t="s">
        <v>179</v>
      </c>
      <c r="K138" s="47">
        <v>2400000</v>
      </c>
      <c r="L138" s="47">
        <v>2400000</v>
      </c>
      <c r="M138" s="50">
        <v>30</v>
      </c>
      <c r="N138" s="49">
        <v>46017</v>
      </c>
      <c r="O138" s="49">
        <v>46376</v>
      </c>
      <c r="P138" s="51">
        <v>817089</v>
      </c>
      <c r="Q138" s="49">
        <v>46224</v>
      </c>
      <c r="R138" s="49" t="s">
        <v>45</v>
      </c>
      <c r="S138" s="47" t="s">
        <v>46</v>
      </c>
      <c r="T138" s="49"/>
      <c r="U138" s="47"/>
      <c r="V138" s="47"/>
      <c r="W138" s="44"/>
      <c r="X138" s="47"/>
      <c r="Y138" s="47"/>
      <c r="Z138" s="47"/>
      <c r="AA138" s="47"/>
    </row>
    <row r="139" spans="1:27" x14ac:dyDescent="0.35">
      <c r="A139" s="47">
        <v>2</v>
      </c>
      <c r="B139" s="47">
        <v>1063810227</v>
      </c>
      <c r="C139" s="39">
        <v>103809033384900</v>
      </c>
      <c r="D139" s="49">
        <v>46219</v>
      </c>
      <c r="E139" s="49" t="s">
        <v>67</v>
      </c>
      <c r="F139" s="49">
        <v>46200</v>
      </c>
      <c r="G139" s="49">
        <v>46210</v>
      </c>
      <c r="H139" s="47">
        <v>11</v>
      </c>
      <c r="I139" s="47">
        <v>182</v>
      </c>
      <c r="J139" s="47" t="s">
        <v>89</v>
      </c>
      <c r="K139" s="47" t="s">
        <v>180</v>
      </c>
      <c r="L139" s="47" t="s">
        <v>180</v>
      </c>
      <c r="M139" s="50" t="s">
        <v>70</v>
      </c>
      <c r="N139" s="49">
        <v>46059</v>
      </c>
      <c r="O139" s="49">
        <v>46418</v>
      </c>
      <c r="P139" s="51">
        <v>641999</v>
      </c>
      <c r="Q139" s="49">
        <v>46224</v>
      </c>
      <c r="R139" s="49" t="s">
        <v>45</v>
      </c>
      <c r="S139" s="47" t="s">
        <v>46</v>
      </c>
      <c r="T139" s="53"/>
      <c r="U139" s="47"/>
      <c r="V139" s="47"/>
      <c r="W139" s="44"/>
      <c r="X139" s="47"/>
      <c r="Y139" s="47"/>
      <c r="Z139" s="47"/>
      <c r="AA139" s="47"/>
    </row>
    <row r="140" spans="1:27" x14ac:dyDescent="0.35">
      <c r="A140" s="47">
        <v>45</v>
      </c>
      <c r="B140" s="47">
        <v>1068974495</v>
      </c>
      <c r="C140" s="39">
        <v>4107413227146700</v>
      </c>
      <c r="D140" s="49">
        <v>46219</v>
      </c>
      <c r="E140" s="49" t="s">
        <v>67</v>
      </c>
      <c r="F140" s="49">
        <v>46078</v>
      </c>
      <c r="G140" s="49">
        <v>46102</v>
      </c>
      <c r="H140" s="47">
        <v>25</v>
      </c>
      <c r="I140" s="47">
        <v>65</v>
      </c>
      <c r="J140" s="47" t="s">
        <v>181</v>
      </c>
      <c r="K140" s="47" t="s">
        <v>182</v>
      </c>
      <c r="L140" s="47" t="s">
        <v>182</v>
      </c>
      <c r="M140" s="50" t="s">
        <v>70</v>
      </c>
      <c r="N140" s="49">
        <v>46038</v>
      </c>
      <c r="O140" s="49">
        <v>46397</v>
      </c>
      <c r="P140" s="51">
        <v>1459088</v>
      </c>
      <c r="Q140" s="49">
        <v>46224</v>
      </c>
      <c r="R140" s="49" t="s">
        <v>45</v>
      </c>
      <c r="S140" s="47" t="s">
        <v>46</v>
      </c>
      <c r="T140" s="49"/>
      <c r="U140" s="47"/>
      <c r="V140" s="47"/>
      <c r="W140" s="44"/>
      <c r="X140" s="47"/>
      <c r="Y140" s="47"/>
      <c r="Z140" s="47"/>
      <c r="AA140" s="47"/>
    </row>
    <row r="141" spans="1:27" x14ac:dyDescent="0.35">
      <c r="A141" s="47">
        <v>115</v>
      </c>
      <c r="B141" s="47">
        <v>1069259490</v>
      </c>
      <c r="C141" s="39">
        <v>4107413227010300</v>
      </c>
      <c r="D141" s="49">
        <v>46218</v>
      </c>
      <c r="E141" s="49" t="s">
        <v>67</v>
      </c>
      <c r="F141" s="49">
        <v>46157</v>
      </c>
      <c r="G141" s="49">
        <v>46167</v>
      </c>
      <c r="H141" s="47">
        <v>11</v>
      </c>
      <c r="I141" s="47">
        <v>79</v>
      </c>
      <c r="J141" s="47" t="s">
        <v>179</v>
      </c>
      <c r="K141" s="47">
        <v>2213114</v>
      </c>
      <c r="L141" s="47">
        <v>2213114</v>
      </c>
      <c r="M141" s="50">
        <v>30</v>
      </c>
      <c r="N141" s="49">
        <v>46085</v>
      </c>
      <c r="O141" s="49">
        <v>46444</v>
      </c>
      <c r="P141" s="51">
        <v>641999</v>
      </c>
      <c r="Q141" s="49">
        <v>46224</v>
      </c>
      <c r="R141" s="49" t="s">
        <v>45</v>
      </c>
      <c r="S141" s="47" t="s">
        <v>46</v>
      </c>
      <c r="T141" s="49"/>
      <c r="U141" s="47"/>
      <c r="V141" s="47"/>
      <c r="W141" s="44"/>
      <c r="X141" s="47"/>
      <c r="Y141" s="47"/>
      <c r="Z141" s="47"/>
      <c r="AA141" s="47"/>
    </row>
    <row r="142" spans="1:27" x14ac:dyDescent="0.35">
      <c r="A142" s="47">
        <v>129</v>
      </c>
      <c r="B142" s="47">
        <v>1069722100</v>
      </c>
      <c r="C142" s="39">
        <v>4107413227039500</v>
      </c>
      <c r="D142" s="49">
        <v>46218</v>
      </c>
      <c r="E142" s="49" t="s">
        <v>67</v>
      </c>
      <c r="F142" s="49">
        <v>46213</v>
      </c>
      <c r="G142" s="49">
        <v>46227</v>
      </c>
      <c r="H142" s="47">
        <v>15</v>
      </c>
      <c r="I142" s="47">
        <v>199</v>
      </c>
      <c r="J142" s="47" t="s">
        <v>183</v>
      </c>
      <c r="K142" s="47">
        <v>1750905</v>
      </c>
      <c r="L142" s="47">
        <v>1750905</v>
      </c>
      <c r="M142" s="50">
        <v>30</v>
      </c>
      <c r="N142" s="49">
        <v>46026</v>
      </c>
      <c r="O142" s="49">
        <v>46385</v>
      </c>
      <c r="P142" s="51">
        <v>875453</v>
      </c>
      <c r="Q142" s="49">
        <v>46224</v>
      </c>
      <c r="R142" s="49" t="s">
        <v>45</v>
      </c>
      <c r="S142" s="47" t="s">
        <v>46</v>
      </c>
      <c r="T142" s="49"/>
      <c r="U142" s="47"/>
      <c r="V142" s="47"/>
      <c r="W142" s="44"/>
      <c r="X142" s="47"/>
      <c r="Y142" s="47"/>
      <c r="Z142" s="47"/>
      <c r="AA142" s="47"/>
    </row>
    <row r="143" spans="1:27" x14ac:dyDescent="0.35">
      <c r="A143" s="47">
        <v>3</v>
      </c>
      <c r="B143" s="47">
        <v>1070590081</v>
      </c>
      <c r="C143" s="39">
        <v>4107413227174400</v>
      </c>
      <c r="D143" s="49">
        <v>46219</v>
      </c>
      <c r="E143" s="49" t="s">
        <v>67</v>
      </c>
      <c r="F143" s="49">
        <v>46194</v>
      </c>
      <c r="G143" s="49">
        <v>46223</v>
      </c>
      <c r="H143" s="47">
        <v>30</v>
      </c>
      <c r="I143" s="47">
        <v>215</v>
      </c>
      <c r="J143" s="47" t="s">
        <v>184</v>
      </c>
      <c r="K143" s="47" t="s">
        <v>78</v>
      </c>
      <c r="L143" s="47" t="s">
        <v>78</v>
      </c>
      <c r="M143" s="50" t="s">
        <v>70</v>
      </c>
      <c r="N143" s="49">
        <v>46009</v>
      </c>
      <c r="O143" s="49">
        <v>46368</v>
      </c>
      <c r="P143" s="51">
        <v>1750905</v>
      </c>
      <c r="Q143" s="49">
        <v>46224</v>
      </c>
      <c r="R143" s="49" t="s">
        <v>45</v>
      </c>
      <c r="S143" s="47" t="s">
        <v>46</v>
      </c>
      <c r="T143" s="49"/>
      <c r="U143" s="47"/>
      <c r="V143" s="47"/>
      <c r="W143" s="44"/>
      <c r="X143" s="47"/>
      <c r="Y143" s="47"/>
      <c r="Z143" s="47"/>
      <c r="AA143" s="47"/>
    </row>
    <row r="144" spans="1:27" x14ac:dyDescent="0.35">
      <c r="A144" s="47">
        <v>80</v>
      </c>
      <c r="B144" s="47">
        <v>1070813061</v>
      </c>
      <c r="C144" s="39">
        <v>104688012901800</v>
      </c>
      <c r="D144" s="49">
        <v>46219</v>
      </c>
      <c r="E144" s="49" t="s">
        <v>67</v>
      </c>
      <c r="F144" s="49">
        <v>46059</v>
      </c>
      <c r="G144" s="49">
        <v>46060</v>
      </c>
      <c r="H144" s="47">
        <v>2</v>
      </c>
      <c r="I144" s="47">
        <v>45</v>
      </c>
      <c r="J144" s="47" t="s">
        <v>185</v>
      </c>
      <c r="K144" s="47">
        <v>1809270</v>
      </c>
      <c r="L144" s="47">
        <v>1809270</v>
      </c>
      <c r="M144" s="50">
        <v>30</v>
      </c>
      <c r="N144" s="49">
        <v>45971</v>
      </c>
      <c r="O144" s="49">
        <v>46334</v>
      </c>
      <c r="P144" s="51">
        <v>116727</v>
      </c>
      <c r="Q144" s="49">
        <v>46224</v>
      </c>
      <c r="R144" s="49" t="s">
        <v>45</v>
      </c>
      <c r="S144" s="47" t="s">
        <v>46</v>
      </c>
      <c r="T144" s="49"/>
      <c r="U144" s="47"/>
      <c r="V144" s="47"/>
      <c r="W144" s="44"/>
      <c r="X144" s="47"/>
      <c r="Y144" s="47"/>
      <c r="Z144" s="47"/>
      <c r="AA144" s="47"/>
    </row>
    <row r="145" spans="1:27" x14ac:dyDescent="0.35">
      <c r="A145" s="47">
        <v>82</v>
      </c>
      <c r="B145" s="47">
        <v>1070813061</v>
      </c>
      <c r="C145" s="39">
        <v>104688012902000</v>
      </c>
      <c r="D145" s="49">
        <v>46219</v>
      </c>
      <c r="E145" s="49" t="s">
        <v>67</v>
      </c>
      <c r="F145" s="49">
        <v>46061</v>
      </c>
      <c r="G145" s="49">
        <v>46068</v>
      </c>
      <c r="H145" s="47">
        <v>8</v>
      </c>
      <c r="I145" s="47">
        <v>120</v>
      </c>
      <c r="J145" s="47" t="s">
        <v>147</v>
      </c>
      <c r="K145" s="47">
        <v>1809270</v>
      </c>
      <c r="L145" s="47">
        <v>1809270</v>
      </c>
      <c r="M145" s="50">
        <v>30</v>
      </c>
      <c r="N145" s="49">
        <v>45971</v>
      </c>
      <c r="O145" s="49">
        <v>46334</v>
      </c>
      <c r="P145" s="51">
        <v>466908</v>
      </c>
      <c r="Q145" s="49">
        <v>46224</v>
      </c>
      <c r="R145" s="49" t="s">
        <v>45</v>
      </c>
      <c r="S145" s="47" t="s">
        <v>46</v>
      </c>
      <c r="T145" s="49"/>
      <c r="U145" s="47"/>
      <c r="V145" s="47"/>
      <c r="W145" s="44"/>
      <c r="X145" s="47"/>
      <c r="Y145" s="47"/>
      <c r="Z145" s="47"/>
      <c r="AA145" s="47"/>
    </row>
    <row r="146" spans="1:27" x14ac:dyDescent="0.35">
      <c r="A146" s="47">
        <v>81</v>
      </c>
      <c r="B146" s="47">
        <v>1070813061</v>
      </c>
      <c r="C146" s="39">
        <v>104688012901900</v>
      </c>
      <c r="D146" s="49">
        <v>46219</v>
      </c>
      <c r="E146" s="49" t="s">
        <v>67</v>
      </c>
      <c r="F146" s="49">
        <v>46118</v>
      </c>
      <c r="G146" s="49">
        <v>46184</v>
      </c>
      <c r="H146" s="47">
        <v>67</v>
      </c>
      <c r="I146" s="47">
        <v>112</v>
      </c>
      <c r="J146" s="47" t="s">
        <v>237</v>
      </c>
      <c r="K146" s="47" t="s">
        <v>186</v>
      </c>
      <c r="L146" s="47" t="s">
        <v>186</v>
      </c>
      <c r="M146" s="50" t="s">
        <v>76</v>
      </c>
      <c r="N146" s="49">
        <v>45971</v>
      </c>
      <c r="O146" s="49">
        <v>46334</v>
      </c>
      <c r="P146" s="51">
        <v>3910355</v>
      </c>
      <c r="Q146" s="49">
        <v>46224</v>
      </c>
      <c r="R146" s="49" t="s">
        <v>45</v>
      </c>
      <c r="S146" s="47" t="s">
        <v>46</v>
      </c>
      <c r="T146" s="49"/>
      <c r="U146" s="47"/>
      <c r="V146" s="47"/>
      <c r="W146" s="44"/>
      <c r="X146" s="47"/>
      <c r="Y146" s="47"/>
      <c r="Z146" s="47"/>
      <c r="AA146" s="47"/>
    </row>
    <row r="147" spans="1:27" x14ac:dyDescent="0.35">
      <c r="A147" s="47">
        <v>109</v>
      </c>
      <c r="B147" s="47">
        <v>1070955986</v>
      </c>
      <c r="C147" s="39">
        <v>4107413226993200</v>
      </c>
      <c r="D147" s="49">
        <v>46218</v>
      </c>
      <c r="E147" s="49" t="s">
        <v>67</v>
      </c>
      <c r="F147" s="49">
        <v>46194</v>
      </c>
      <c r="G147" s="49">
        <v>46221</v>
      </c>
      <c r="H147" s="47">
        <v>28</v>
      </c>
      <c r="I147" s="47">
        <v>279</v>
      </c>
      <c r="J147" s="47" t="s">
        <v>122</v>
      </c>
      <c r="K147" s="47" t="s">
        <v>78</v>
      </c>
      <c r="L147" s="47" t="s">
        <v>78</v>
      </c>
      <c r="M147" s="50" t="s">
        <v>70</v>
      </c>
      <c r="N147" s="49">
        <v>45939</v>
      </c>
      <c r="O147" s="49">
        <v>46298</v>
      </c>
      <c r="P147" s="51">
        <v>1634178</v>
      </c>
      <c r="Q147" s="49">
        <v>46224</v>
      </c>
      <c r="R147" s="49" t="s">
        <v>45</v>
      </c>
      <c r="S147" s="47" t="s">
        <v>46</v>
      </c>
      <c r="T147" s="49"/>
      <c r="U147" s="47"/>
      <c r="V147" s="47"/>
      <c r="W147" s="44"/>
      <c r="X147" s="47"/>
      <c r="Y147" s="47"/>
      <c r="Z147" s="47"/>
      <c r="AA147" s="47"/>
    </row>
    <row r="148" spans="1:27" x14ac:dyDescent="0.35">
      <c r="A148" s="47">
        <v>116</v>
      </c>
      <c r="B148" s="47">
        <v>1071172051</v>
      </c>
      <c r="C148" s="39">
        <v>4107413227033500</v>
      </c>
      <c r="D148" s="49">
        <v>46218</v>
      </c>
      <c r="E148" s="49" t="s">
        <v>67</v>
      </c>
      <c r="F148" s="49">
        <v>46190</v>
      </c>
      <c r="G148" s="49">
        <v>46218</v>
      </c>
      <c r="H148" s="47">
        <v>29</v>
      </c>
      <c r="I148" s="47">
        <v>38</v>
      </c>
      <c r="J148" s="47" t="s">
        <v>187</v>
      </c>
      <c r="K148" s="47" t="s">
        <v>78</v>
      </c>
      <c r="L148" s="47" t="s">
        <v>78</v>
      </c>
      <c r="M148" s="50" t="s">
        <v>70</v>
      </c>
      <c r="N148" s="49">
        <v>46181</v>
      </c>
      <c r="O148" s="49">
        <v>46540</v>
      </c>
      <c r="P148" s="51">
        <v>1692542</v>
      </c>
      <c r="Q148" s="49">
        <v>46224</v>
      </c>
      <c r="R148" s="49" t="s">
        <v>45</v>
      </c>
      <c r="S148" s="47" t="s">
        <v>46</v>
      </c>
      <c r="T148" s="49"/>
      <c r="U148" s="47"/>
      <c r="V148" s="47"/>
      <c r="W148" s="44"/>
      <c r="X148" s="47"/>
      <c r="Y148" s="47"/>
      <c r="Z148" s="47"/>
      <c r="AA148" s="47"/>
    </row>
    <row r="149" spans="1:27" x14ac:dyDescent="0.35">
      <c r="A149" s="47">
        <v>50</v>
      </c>
      <c r="B149" s="47">
        <v>1073517159</v>
      </c>
      <c r="C149" s="39">
        <v>4107413227131500</v>
      </c>
      <c r="D149" s="49">
        <v>46219</v>
      </c>
      <c r="E149" s="49" t="s">
        <v>67</v>
      </c>
      <c r="F149" s="49">
        <v>46105</v>
      </c>
      <c r="G149" s="49">
        <v>46134</v>
      </c>
      <c r="H149" s="47">
        <v>30</v>
      </c>
      <c r="I149" s="47">
        <v>105</v>
      </c>
      <c r="J149" s="47" t="s">
        <v>188</v>
      </c>
      <c r="K149" s="47" t="s">
        <v>163</v>
      </c>
      <c r="L149" s="47" t="s">
        <v>163</v>
      </c>
      <c r="M149" s="50" t="s">
        <v>70</v>
      </c>
      <c r="N149" s="49">
        <v>46026</v>
      </c>
      <c r="O149" s="49">
        <v>46385</v>
      </c>
      <c r="P149" s="51">
        <v>1750905</v>
      </c>
      <c r="Q149" s="49">
        <v>46224</v>
      </c>
      <c r="R149" s="49" t="s">
        <v>45</v>
      </c>
      <c r="S149" s="47" t="s">
        <v>46</v>
      </c>
      <c r="T149" s="49"/>
      <c r="U149" s="47"/>
      <c r="V149" s="47"/>
      <c r="W149" s="44"/>
      <c r="X149" s="47"/>
      <c r="Y149" s="47"/>
      <c r="Z149" s="47"/>
      <c r="AA149" s="47"/>
    </row>
    <row r="150" spans="1:27" x14ac:dyDescent="0.35">
      <c r="A150" s="47">
        <v>78</v>
      </c>
      <c r="B150" s="47">
        <v>1074001293</v>
      </c>
      <c r="C150" s="39">
        <v>104688012904400</v>
      </c>
      <c r="D150" s="49">
        <v>46219</v>
      </c>
      <c r="E150" s="49" t="s">
        <v>67</v>
      </c>
      <c r="F150" s="49">
        <v>46205</v>
      </c>
      <c r="G150" s="49">
        <v>46232</v>
      </c>
      <c r="H150" s="47">
        <v>28</v>
      </c>
      <c r="I150" s="47">
        <v>86</v>
      </c>
      <c r="J150" s="47" t="s">
        <v>227</v>
      </c>
      <c r="K150" s="47">
        <v>2093818</v>
      </c>
      <c r="L150" s="47">
        <v>2093818</v>
      </c>
      <c r="M150" s="50">
        <v>30</v>
      </c>
      <c r="N150" s="49">
        <v>46147</v>
      </c>
      <c r="O150" s="49">
        <v>46506</v>
      </c>
      <c r="P150" s="51">
        <v>1634178</v>
      </c>
      <c r="Q150" s="49">
        <v>46224</v>
      </c>
      <c r="R150" s="49" t="s">
        <v>45</v>
      </c>
      <c r="S150" s="47" t="s">
        <v>46</v>
      </c>
      <c r="T150" s="49"/>
      <c r="U150" s="47"/>
      <c r="V150" s="47"/>
      <c r="W150" s="44"/>
      <c r="X150" s="47"/>
      <c r="Y150" s="47"/>
      <c r="Z150" s="47"/>
      <c r="AA150" s="47"/>
    </row>
    <row r="151" spans="1:27" x14ac:dyDescent="0.35">
      <c r="A151" s="47">
        <v>161</v>
      </c>
      <c r="B151" s="47">
        <v>1077426815</v>
      </c>
      <c r="C151" s="39">
        <v>102615032960000</v>
      </c>
      <c r="D151" s="49">
        <v>46218</v>
      </c>
      <c r="E151" s="52" t="s">
        <v>24</v>
      </c>
      <c r="F151" s="52">
        <v>46008</v>
      </c>
      <c r="G151" s="52">
        <v>46024</v>
      </c>
      <c r="H151" s="47">
        <v>17</v>
      </c>
      <c r="I151" s="47">
        <v>17</v>
      </c>
      <c r="J151" s="47" t="s">
        <v>183</v>
      </c>
      <c r="K151" s="47" t="s">
        <v>189</v>
      </c>
      <c r="L151" s="47" t="s">
        <v>189</v>
      </c>
      <c r="M151" s="50" t="s">
        <v>70</v>
      </c>
      <c r="N151" s="49">
        <v>46008</v>
      </c>
      <c r="O151" s="49">
        <v>46367</v>
      </c>
      <c r="P151" s="51">
        <v>828477</v>
      </c>
      <c r="Q151" s="49">
        <v>46224</v>
      </c>
      <c r="R151" s="49" t="s">
        <v>45</v>
      </c>
      <c r="S151" s="47" t="s">
        <v>46</v>
      </c>
      <c r="T151" s="49"/>
      <c r="U151" s="47"/>
      <c r="V151" s="47"/>
      <c r="W151" s="44"/>
      <c r="X151" s="47"/>
      <c r="Y151" s="47"/>
      <c r="Z151" s="47"/>
      <c r="AA151" s="47"/>
    </row>
    <row r="152" spans="1:27" x14ac:dyDescent="0.35">
      <c r="A152" s="47">
        <v>162</v>
      </c>
      <c r="B152" s="47">
        <v>1077426815</v>
      </c>
      <c r="C152" s="39">
        <v>102615032960000</v>
      </c>
      <c r="D152" s="49">
        <v>46218</v>
      </c>
      <c r="E152" s="52" t="s">
        <v>67</v>
      </c>
      <c r="F152" s="52">
        <v>46031</v>
      </c>
      <c r="G152" s="52">
        <v>46060</v>
      </c>
      <c r="H152" s="47">
        <v>30</v>
      </c>
      <c r="I152" s="47">
        <v>47</v>
      </c>
      <c r="J152" s="47" t="s">
        <v>183</v>
      </c>
      <c r="K152" s="47" t="s">
        <v>190</v>
      </c>
      <c r="L152" s="47" t="s">
        <v>190</v>
      </c>
      <c r="M152" s="50" t="s">
        <v>70</v>
      </c>
      <c r="N152" s="49">
        <v>46008</v>
      </c>
      <c r="O152" s="49">
        <v>46367</v>
      </c>
      <c r="P152" s="51">
        <v>1750905</v>
      </c>
      <c r="Q152" s="49">
        <v>46224</v>
      </c>
      <c r="R152" s="49" t="s">
        <v>45</v>
      </c>
      <c r="S152" s="47" t="s">
        <v>46</v>
      </c>
      <c r="T152" s="49"/>
      <c r="U152" s="47"/>
      <c r="V152" s="47"/>
      <c r="W152" s="44"/>
      <c r="X152" s="47"/>
      <c r="Y152" s="47"/>
      <c r="Z152" s="47"/>
      <c r="AA152" s="47"/>
    </row>
    <row r="153" spans="1:27" x14ac:dyDescent="0.35">
      <c r="A153" s="47">
        <v>164</v>
      </c>
      <c r="B153" s="47">
        <v>1077426815</v>
      </c>
      <c r="C153" s="39">
        <v>102615032960000</v>
      </c>
      <c r="D153" s="49">
        <v>46218</v>
      </c>
      <c r="E153" s="52" t="s">
        <v>67</v>
      </c>
      <c r="F153" s="52">
        <v>46063</v>
      </c>
      <c r="G153" s="52">
        <v>46122</v>
      </c>
      <c r="H153" s="47">
        <v>60</v>
      </c>
      <c r="I153" s="47">
        <v>107</v>
      </c>
      <c r="J153" s="47" t="s">
        <v>183</v>
      </c>
      <c r="K153" s="47" t="s">
        <v>191</v>
      </c>
      <c r="L153" s="47" t="s">
        <v>191</v>
      </c>
      <c r="M153" s="50" t="s">
        <v>76</v>
      </c>
      <c r="N153" s="49">
        <v>46008</v>
      </c>
      <c r="O153" s="49">
        <v>46367</v>
      </c>
      <c r="P153" s="51">
        <v>3501811</v>
      </c>
      <c r="Q153" s="49">
        <v>46224</v>
      </c>
      <c r="R153" s="49" t="s">
        <v>45</v>
      </c>
      <c r="S153" s="47" t="s">
        <v>46</v>
      </c>
      <c r="T153" s="49"/>
      <c r="U153" s="47"/>
      <c r="V153" s="47"/>
      <c r="W153" s="44"/>
      <c r="X153" s="47"/>
      <c r="Y153" s="47"/>
      <c r="Z153" s="47"/>
      <c r="AA153" s="47"/>
    </row>
    <row r="154" spans="1:27" x14ac:dyDescent="0.35">
      <c r="A154" s="47">
        <v>163</v>
      </c>
      <c r="B154" s="47">
        <v>1077426815</v>
      </c>
      <c r="C154" s="39">
        <v>102615032960000</v>
      </c>
      <c r="D154" s="49">
        <v>46218</v>
      </c>
      <c r="E154" s="52" t="s">
        <v>67</v>
      </c>
      <c r="F154" s="52">
        <v>46126</v>
      </c>
      <c r="G154" s="52">
        <v>46135</v>
      </c>
      <c r="H154" s="47">
        <v>10</v>
      </c>
      <c r="I154" s="47">
        <v>117</v>
      </c>
      <c r="J154" s="47" t="s">
        <v>183</v>
      </c>
      <c r="K154" s="47">
        <v>3501810</v>
      </c>
      <c r="L154" s="47">
        <v>3501810</v>
      </c>
      <c r="M154" s="50">
        <v>30</v>
      </c>
      <c r="N154" s="49">
        <v>46008</v>
      </c>
      <c r="O154" s="49">
        <v>46367</v>
      </c>
      <c r="P154" s="51">
        <v>583635</v>
      </c>
      <c r="Q154" s="49">
        <v>46224</v>
      </c>
      <c r="R154" s="49" t="s">
        <v>45</v>
      </c>
      <c r="S154" s="47" t="s">
        <v>46</v>
      </c>
      <c r="T154" s="49"/>
      <c r="U154" s="47"/>
      <c r="V154" s="47"/>
      <c r="W154" s="44"/>
      <c r="X154" s="47"/>
      <c r="Y154" s="47"/>
      <c r="Z154" s="47"/>
      <c r="AA154" s="47"/>
    </row>
    <row r="155" spans="1:27" x14ac:dyDescent="0.35">
      <c r="A155" s="47">
        <v>165</v>
      </c>
      <c r="B155" s="47">
        <v>1077426815</v>
      </c>
      <c r="C155" s="39">
        <v>102615032960000</v>
      </c>
      <c r="D155" s="49">
        <v>46218</v>
      </c>
      <c r="E155" s="52" t="s">
        <v>67</v>
      </c>
      <c r="F155" s="52">
        <v>46140</v>
      </c>
      <c r="G155" s="52">
        <v>46146</v>
      </c>
      <c r="H155" s="47">
        <v>7</v>
      </c>
      <c r="I155" s="47">
        <v>124</v>
      </c>
      <c r="J155" s="47" t="s">
        <v>183</v>
      </c>
      <c r="K155" s="47" t="s">
        <v>192</v>
      </c>
      <c r="L155" s="47" t="s">
        <v>192</v>
      </c>
      <c r="M155" s="50" t="s">
        <v>70</v>
      </c>
      <c r="N155" s="49">
        <v>46008</v>
      </c>
      <c r="O155" s="49">
        <v>46367</v>
      </c>
      <c r="P155" s="51">
        <v>408545</v>
      </c>
      <c r="Q155" s="49">
        <v>46224</v>
      </c>
      <c r="R155" s="49" t="s">
        <v>45</v>
      </c>
      <c r="S155" s="47" t="s">
        <v>46</v>
      </c>
      <c r="T155" s="49"/>
      <c r="U155" s="47"/>
      <c r="V155" s="47"/>
      <c r="W155" s="44"/>
      <c r="X155" s="47"/>
      <c r="Y155" s="47"/>
      <c r="Z155" s="47"/>
      <c r="AA155" s="47"/>
    </row>
    <row r="156" spans="1:27" x14ac:dyDescent="0.35">
      <c r="A156" s="47">
        <v>57</v>
      </c>
      <c r="B156" s="47">
        <v>1078246533</v>
      </c>
      <c r="C156" s="39">
        <v>105401022450000</v>
      </c>
      <c r="D156" s="49">
        <v>46219</v>
      </c>
      <c r="E156" s="49" t="s">
        <v>67</v>
      </c>
      <c r="F156" s="49">
        <v>46191</v>
      </c>
      <c r="G156" s="49">
        <v>46209</v>
      </c>
      <c r="H156" s="47">
        <v>19</v>
      </c>
      <c r="I156" s="47">
        <v>284</v>
      </c>
      <c r="J156" s="47" t="s">
        <v>149</v>
      </c>
      <c r="K156" s="47" t="s">
        <v>78</v>
      </c>
      <c r="L156" s="47" t="s">
        <v>78</v>
      </c>
      <c r="M156" s="50" t="s">
        <v>70</v>
      </c>
      <c r="N156" s="49">
        <v>45906</v>
      </c>
      <c r="O156" s="49">
        <v>46265</v>
      </c>
      <c r="P156" s="51">
        <v>1108907</v>
      </c>
      <c r="Q156" s="49">
        <v>46224</v>
      </c>
      <c r="R156" s="49" t="s">
        <v>45</v>
      </c>
      <c r="S156" s="47" t="s">
        <v>46</v>
      </c>
      <c r="T156" s="49"/>
      <c r="U156" s="47"/>
      <c r="V156" s="47"/>
      <c r="W156" s="44"/>
      <c r="X156" s="47"/>
      <c r="Y156" s="47"/>
      <c r="Z156" s="47"/>
      <c r="AA156" s="47"/>
    </row>
    <row r="157" spans="1:27" x14ac:dyDescent="0.35">
      <c r="A157" s="47">
        <v>89</v>
      </c>
      <c r="B157" s="47">
        <v>1082995034</v>
      </c>
      <c r="C157" s="39">
        <v>102222026960200</v>
      </c>
      <c r="D157" s="49">
        <v>46219</v>
      </c>
      <c r="E157" s="49" t="s">
        <v>67</v>
      </c>
      <c r="F157" s="49">
        <v>46214</v>
      </c>
      <c r="G157" s="49">
        <v>46243</v>
      </c>
      <c r="H157" s="47">
        <v>30</v>
      </c>
      <c r="I157" s="47">
        <v>210</v>
      </c>
      <c r="J157" s="47" t="s">
        <v>183</v>
      </c>
      <c r="K157" s="47" t="s">
        <v>193</v>
      </c>
      <c r="L157" s="47" t="s">
        <v>193</v>
      </c>
      <c r="M157" s="50" t="s">
        <v>70</v>
      </c>
      <c r="N157" s="49">
        <v>46032</v>
      </c>
      <c r="O157" s="49">
        <v>46391</v>
      </c>
      <c r="P157" s="51">
        <v>1750905</v>
      </c>
      <c r="Q157" s="49">
        <v>46224</v>
      </c>
      <c r="R157" s="49" t="s">
        <v>45</v>
      </c>
      <c r="S157" s="47" t="s">
        <v>46</v>
      </c>
      <c r="T157" s="49"/>
      <c r="U157" s="47"/>
      <c r="V157" s="47"/>
      <c r="W157" s="44"/>
      <c r="X157" s="47"/>
      <c r="Y157" s="47"/>
      <c r="Z157" s="47"/>
      <c r="AA157" s="47"/>
    </row>
    <row r="158" spans="1:27" x14ac:dyDescent="0.35">
      <c r="A158" s="47">
        <v>114</v>
      </c>
      <c r="B158" s="47">
        <v>1083886346</v>
      </c>
      <c r="C158" s="39">
        <v>4107413227005200</v>
      </c>
      <c r="D158" s="49">
        <v>46218</v>
      </c>
      <c r="E158" s="49" t="s">
        <v>67</v>
      </c>
      <c r="F158" s="49">
        <v>46189</v>
      </c>
      <c r="G158" s="49">
        <v>46218</v>
      </c>
      <c r="H158" s="47">
        <v>30</v>
      </c>
      <c r="I158" s="47">
        <v>88</v>
      </c>
      <c r="J158" s="47" t="s">
        <v>194</v>
      </c>
      <c r="K158" s="47" t="s">
        <v>78</v>
      </c>
      <c r="L158" s="47" t="s">
        <v>78</v>
      </c>
      <c r="M158" s="50" t="s">
        <v>70</v>
      </c>
      <c r="N158" s="49">
        <v>46131</v>
      </c>
      <c r="O158" s="49">
        <v>46490</v>
      </c>
      <c r="P158" s="51">
        <v>1750905</v>
      </c>
      <c r="Q158" s="49">
        <v>46224</v>
      </c>
      <c r="R158" s="49" t="s">
        <v>45</v>
      </c>
      <c r="S158" s="47" t="s">
        <v>46</v>
      </c>
      <c r="T158" s="49"/>
      <c r="U158" s="47"/>
      <c r="V158" s="47"/>
      <c r="W158" s="44"/>
      <c r="X158" s="47"/>
      <c r="Y158" s="47"/>
      <c r="Z158" s="47"/>
      <c r="AA158" s="47"/>
    </row>
    <row r="159" spans="1:27" x14ac:dyDescent="0.35">
      <c r="A159" s="47">
        <v>15</v>
      </c>
      <c r="B159" s="47">
        <v>1087488298</v>
      </c>
      <c r="C159" s="39">
        <v>105672028254100</v>
      </c>
      <c r="D159" s="49">
        <v>46219</v>
      </c>
      <c r="E159" s="49" t="s">
        <v>67</v>
      </c>
      <c r="F159" s="49">
        <v>46202</v>
      </c>
      <c r="G159" s="49">
        <v>46231</v>
      </c>
      <c r="H159" s="47">
        <v>30</v>
      </c>
      <c r="I159" s="47">
        <v>97</v>
      </c>
      <c r="J159" s="47" t="s">
        <v>139</v>
      </c>
      <c r="K159" s="47" t="s">
        <v>78</v>
      </c>
      <c r="L159" s="47" t="s">
        <v>78</v>
      </c>
      <c r="M159" s="50" t="s">
        <v>70</v>
      </c>
      <c r="N159" s="49">
        <v>46133</v>
      </c>
      <c r="O159" s="49">
        <v>46492</v>
      </c>
      <c r="P159" s="51">
        <v>1750905</v>
      </c>
      <c r="Q159" s="49">
        <v>46224</v>
      </c>
      <c r="R159" s="49" t="s">
        <v>45</v>
      </c>
      <c r="S159" s="47" t="s">
        <v>46</v>
      </c>
      <c r="T159" s="49"/>
      <c r="U159" s="47"/>
      <c r="V159" s="47"/>
      <c r="W159" s="44"/>
      <c r="X159" s="47"/>
      <c r="Y159" s="47"/>
      <c r="Z159" s="47"/>
      <c r="AA159" s="47"/>
    </row>
    <row r="160" spans="1:27" x14ac:dyDescent="0.35">
      <c r="A160" s="47">
        <v>124</v>
      </c>
      <c r="B160" s="47">
        <v>1090511218</v>
      </c>
      <c r="C160" s="39">
        <v>106327022163000</v>
      </c>
      <c r="D160" s="49">
        <v>46218</v>
      </c>
      <c r="E160" s="49" t="s">
        <v>67</v>
      </c>
      <c r="F160" s="49">
        <v>46216</v>
      </c>
      <c r="G160" s="49">
        <v>46245</v>
      </c>
      <c r="H160" s="47">
        <v>30</v>
      </c>
      <c r="I160" s="47">
        <v>347</v>
      </c>
      <c r="J160" s="47" t="s">
        <v>195</v>
      </c>
      <c r="K160" s="47" t="s">
        <v>78</v>
      </c>
      <c r="L160" s="47" t="s">
        <v>78</v>
      </c>
      <c r="M160" s="50" t="s">
        <v>70</v>
      </c>
      <c r="N160" s="49">
        <v>45899</v>
      </c>
      <c r="O160" s="49">
        <v>46258</v>
      </c>
      <c r="P160" s="51">
        <v>1750905</v>
      </c>
      <c r="Q160" s="49">
        <v>46224</v>
      </c>
      <c r="R160" s="49" t="s">
        <v>45</v>
      </c>
      <c r="S160" s="47" t="s">
        <v>46</v>
      </c>
      <c r="T160" s="49"/>
      <c r="U160" s="47"/>
      <c r="V160" s="47"/>
      <c r="W160" s="44"/>
      <c r="X160" s="47"/>
      <c r="Y160" s="47"/>
      <c r="Z160" s="47"/>
      <c r="AA160" s="47"/>
    </row>
    <row r="161" spans="1:27" x14ac:dyDescent="0.35">
      <c r="A161" s="47">
        <v>8</v>
      </c>
      <c r="B161" s="47">
        <v>1093213789</v>
      </c>
      <c r="C161" s="39">
        <v>102222026959300</v>
      </c>
      <c r="D161" s="49">
        <v>46219</v>
      </c>
      <c r="E161" s="49" t="s">
        <v>67</v>
      </c>
      <c r="F161" s="49">
        <v>46214</v>
      </c>
      <c r="G161" s="49">
        <v>46233</v>
      </c>
      <c r="H161" s="47">
        <v>20</v>
      </c>
      <c r="I161" s="47">
        <v>249</v>
      </c>
      <c r="J161" s="47" t="s">
        <v>196</v>
      </c>
      <c r="K161" s="47">
        <v>1750905</v>
      </c>
      <c r="L161" s="47">
        <v>1750905</v>
      </c>
      <c r="M161" s="50">
        <v>30</v>
      </c>
      <c r="N161" s="49">
        <v>45985</v>
      </c>
      <c r="O161" s="49">
        <v>46344</v>
      </c>
      <c r="P161" s="51">
        <v>1167270</v>
      </c>
      <c r="Q161" s="49">
        <v>46224</v>
      </c>
      <c r="R161" s="49" t="s">
        <v>45</v>
      </c>
      <c r="S161" s="47" t="s">
        <v>46</v>
      </c>
      <c r="T161" s="49"/>
      <c r="U161" s="47"/>
      <c r="V161" s="47"/>
      <c r="W161" s="44"/>
      <c r="X161" s="47"/>
      <c r="Y161" s="47"/>
      <c r="Z161" s="47"/>
      <c r="AA161" s="47"/>
    </row>
    <row r="162" spans="1:27" x14ac:dyDescent="0.35">
      <c r="A162" s="47">
        <v>123</v>
      </c>
      <c r="B162" s="47">
        <v>1093773056</v>
      </c>
      <c r="C162" s="39">
        <v>106327022162900</v>
      </c>
      <c r="D162" s="49">
        <v>46218</v>
      </c>
      <c r="E162" s="49" t="s">
        <v>67</v>
      </c>
      <c r="F162" s="49">
        <v>46202</v>
      </c>
      <c r="G162" s="49">
        <v>46231</v>
      </c>
      <c r="H162" s="47">
        <v>30</v>
      </c>
      <c r="I162" s="47">
        <v>282</v>
      </c>
      <c r="J162" s="47" t="s">
        <v>197</v>
      </c>
      <c r="K162" s="47" t="s">
        <v>78</v>
      </c>
      <c r="L162" s="47" t="s">
        <v>78</v>
      </c>
      <c r="M162" s="50" t="s">
        <v>70</v>
      </c>
      <c r="N162" s="49">
        <v>45980</v>
      </c>
      <c r="O162" s="49">
        <v>46291</v>
      </c>
      <c r="P162" s="51">
        <v>1750905</v>
      </c>
      <c r="Q162" s="49">
        <v>46224</v>
      </c>
      <c r="R162" s="49" t="s">
        <v>45</v>
      </c>
      <c r="S162" s="47" t="s">
        <v>46</v>
      </c>
      <c r="T162" s="49"/>
      <c r="U162" s="47"/>
      <c r="V162" s="47"/>
      <c r="W162" s="44"/>
      <c r="X162" s="47"/>
      <c r="Y162" s="47"/>
      <c r="Z162" s="47"/>
      <c r="AA162" s="47"/>
    </row>
    <row r="163" spans="1:27" x14ac:dyDescent="0.35">
      <c r="A163" s="47">
        <v>33</v>
      </c>
      <c r="B163" s="47">
        <v>1094881172</v>
      </c>
      <c r="C163" s="39">
        <v>105646015746800</v>
      </c>
      <c r="D163" s="49">
        <v>46219</v>
      </c>
      <c r="E163" s="49" t="s">
        <v>109</v>
      </c>
      <c r="F163" s="49">
        <v>46216</v>
      </c>
      <c r="G163" s="49">
        <v>46230</v>
      </c>
      <c r="H163" s="47">
        <v>15</v>
      </c>
      <c r="I163" s="47">
        <v>269</v>
      </c>
      <c r="J163" s="47" t="s">
        <v>198</v>
      </c>
      <c r="K163" s="47">
        <v>1750905</v>
      </c>
      <c r="L163" s="47">
        <v>1750905</v>
      </c>
      <c r="M163" s="50">
        <v>30</v>
      </c>
      <c r="N163" s="49">
        <v>45962</v>
      </c>
      <c r="O163" s="49">
        <v>46321</v>
      </c>
      <c r="P163" s="51">
        <v>875453</v>
      </c>
      <c r="Q163" s="49">
        <v>46224</v>
      </c>
      <c r="R163" s="49" t="s">
        <v>45</v>
      </c>
      <c r="S163" s="47" t="s">
        <v>46</v>
      </c>
      <c r="T163" s="49"/>
      <c r="U163" s="47"/>
      <c r="V163" s="47"/>
      <c r="W163" s="44"/>
      <c r="X163" s="47"/>
      <c r="Y163" s="47"/>
      <c r="Z163" s="47"/>
      <c r="AA163" s="47"/>
    </row>
    <row r="164" spans="1:27" x14ac:dyDescent="0.35">
      <c r="A164" s="47">
        <v>181</v>
      </c>
      <c r="B164" s="47">
        <v>1095801443</v>
      </c>
      <c r="C164" s="39">
        <v>106301038186300</v>
      </c>
      <c r="D164" s="49">
        <v>46218</v>
      </c>
      <c r="E164" s="49" t="s">
        <v>67</v>
      </c>
      <c r="F164" s="49">
        <v>46200</v>
      </c>
      <c r="G164" s="49">
        <v>46229</v>
      </c>
      <c r="H164" s="47">
        <v>30</v>
      </c>
      <c r="I164" s="47">
        <v>210</v>
      </c>
      <c r="J164" s="47" t="s">
        <v>199</v>
      </c>
      <c r="K164" s="47" t="s">
        <v>200</v>
      </c>
      <c r="L164" s="47" t="s">
        <v>200</v>
      </c>
      <c r="M164" s="50" t="s">
        <v>70</v>
      </c>
      <c r="N164" s="49">
        <v>46020</v>
      </c>
      <c r="O164" s="49">
        <v>46379</v>
      </c>
      <c r="P164" s="51">
        <v>1750905</v>
      </c>
      <c r="Q164" s="49">
        <v>46224</v>
      </c>
      <c r="R164" s="49" t="s">
        <v>45</v>
      </c>
      <c r="S164" s="47" t="s">
        <v>46</v>
      </c>
      <c r="T164" s="49"/>
      <c r="U164" s="47"/>
      <c r="V164" s="47"/>
      <c r="W164" s="44"/>
      <c r="X164" s="47"/>
      <c r="Y164" s="47"/>
      <c r="Z164" s="47"/>
      <c r="AA164" s="47"/>
    </row>
    <row r="165" spans="1:27" x14ac:dyDescent="0.35">
      <c r="A165" s="47">
        <v>54</v>
      </c>
      <c r="B165" s="47">
        <v>1095822670</v>
      </c>
      <c r="C165" s="39">
        <v>106328010733200</v>
      </c>
      <c r="D165" s="49">
        <v>46219</v>
      </c>
      <c r="E165" s="49" t="s">
        <v>67</v>
      </c>
      <c r="F165" s="49">
        <v>46187</v>
      </c>
      <c r="G165" s="49">
        <v>46216</v>
      </c>
      <c r="H165" s="47">
        <v>30</v>
      </c>
      <c r="I165" s="47">
        <v>82</v>
      </c>
      <c r="J165" s="47" t="s">
        <v>102</v>
      </c>
      <c r="K165" s="47" t="s">
        <v>93</v>
      </c>
      <c r="L165" s="47" t="s">
        <v>93</v>
      </c>
      <c r="M165" s="50" t="s">
        <v>70</v>
      </c>
      <c r="N165" s="49">
        <v>46129</v>
      </c>
      <c r="O165" s="49">
        <v>46488</v>
      </c>
      <c r="P165" s="51">
        <v>1750905</v>
      </c>
      <c r="Q165" s="49">
        <v>46224</v>
      </c>
      <c r="R165" s="49" t="s">
        <v>45</v>
      </c>
      <c r="S165" s="47" t="s">
        <v>46</v>
      </c>
      <c r="T165" s="49"/>
      <c r="U165" s="47"/>
      <c r="V165" s="47"/>
      <c r="W165" s="44"/>
      <c r="X165" s="47"/>
      <c r="Y165" s="47"/>
      <c r="Z165" s="47"/>
      <c r="AA165" s="47"/>
    </row>
    <row r="166" spans="1:27" x14ac:dyDescent="0.35">
      <c r="A166" s="47">
        <v>140</v>
      </c>
      <c r="B166" s="47">
        <v>1095925056</v>
      </c>
      <c r="C166" s="39">
        <v>106222010288400</v>
      </c>
      <c r="D166" s="49">
        <v>46218</v>
      </c>
      <c r="E166" s="49" t="s">
        <v>67</v>
      </c>
      <c r="F166" s="49">
        <v>46213</v>
      </c>
      <c r="G166" s="49">
        <v>46218</v>
      </c>
      <c r="H166" s="47">
        <v>6</v>
      </c>
      <c r="I166" s="47">
        <v>71</v>
      </c>
      <c r="J166" s="47" t="s">
        <v>174</v>
      </c>
      <c r="K166" s="47">
        <v>2310043</v>
      </c>
      <c r="L166" s="47">
        <v>2310043</v>
      </c>
      <c r="M166" s="50">
        <v>30</v>
      </c>
      <c r="N166" s="49">
        <v>46099</v>
      </c>
      <c r="O166" s="49">
        <v>46458</v>
      </c>
      <c r="P166" s="51">
        <v>350181</v>
      </c>
      <c r="Q166" s="49">
        <v>46224</v>
      </c>
      <c r="R166" s="49" t="s">
        <v>45</v>
      </c>
      <c r="S166" s="47" t="s">
        <v>46</v>
      </c>
      <c r="T166" s="49"/>
      <c r="U166" s="47"/>
      <c r="V166" s="47"/>
      <c r="W166" s="44"/>
      <c r="X166" s="47"/>
      <c r="Y166" s="47"/>
      <c r="Z166" s="47"/>
      <c r="AA166" s="47"/>
    </row>
    <row r="167" spans="1:27" x14ac:dyDescent="0.35">
      <c r="A167" s="47">
        <v>61</v>
      </c>
      <c r="B167" s="47">
        <v>1096201000</v>
      </c>
      <c r="C167" s="39">
        <v>106323012153000</v>
      </c>
      <c r="D167" s="49">
        <v>46219</v>
      </c>
      <c r="E167" s="49" t="s">
        <v>67</v>
      </c>
      <c r="F167" s="49">
        <v>46216</v>
      </c>
      <c r="G167" s="49">
        <v>46224</v>
      </c>
      <c r="H167" s="47">
        <v>9</v>
      </c>
      <c r="I167" s="47">
        <v>356</v>
      </c>
      <c r="J167" s="47" t="s">
        <v>201</v>
      </c>
      <c r="K167" s="47">
        <v>9134884</v>
      </c>
      <c r="L167" s="47">
        <v>9134884</v>
      </c>
      <c r="M167" s="50">
        <v>30</v>
      </c>
      <c r="N167" s="49">
        <v>45865</v>
      </c>
      <c r="O167" s="49">
        <v>46224</v>
      </c>
      <c r="P167" s="51">
        <v>1370233</v>
      </c>
      <c r="Q167" s="49">
        <v>46224</v>
      </c>
      <c r="R167" s="49" t="s">
        <v>45</v>
      </c>
      <c r="S167" s="47" t="s">
        <v>46</v>
      </c>
      <c r="T167" s="49"/>
      <c r="U167" s="47"/>
      <c r="V167" s="47"/>
      <c r="W167" s="44"/>
      <c r="X167" s="47"/>
      <c r="Y167" s="47"/>
      <c r="Z167" s="47"/>
      <c r="AA167" s="47"/>
    </row>
    <row r="168" spans="1:27" x14ac:dyDescent="0.35">
      <c r="A168" s="47">
        <v>76</v>
      </c>
      <c r="B168" s="47">
        <v>1097038145</v>
      </c>
      <c r="C168" s="39">
        <v>105646015748300</v>
      </c>
      <c r="D168" s="49">
        <v>46219</v>
      </c>
      <c r="E168" s="49" t="s">
        <v>67</v>
      </c>
      <c r="F168" s="49">
        <v>46188</v>
      </c>
      <c r="G168" s="49">
        <v>46189</v>
      </c>
      <c r="H168" s="47">
        <v>2</v>
      </c>
      <c r="I168" s="47">
        <v>360</v>
      </c>
      <c r="J168" s="47" t="s">
        <v>202</v>
      </c>
      <c r="K168" s="47">
        <v>1750905</v>
      </c>
      <c r="L168" s="47">
        <v>1750905</v>
      </c>
      <c r="M168" s="50">
        <v>30</v>
      </c>
      <c r="N168" s="49">
        <v>45852</v>
      </c>
      <c r="O168" s="49">
        <v>46211</v>
      </c>
      <c r="P168" s="51">
        <v>116727</v>
      </c>
      <c r="Q168" s="49">
        <v>46224</v>
      </c>
      <c r="R168" s="49" t="s">
        <v>45</v>
      </c>
      <c r="S168" s="47" t="s">
        <v>46</v>
      </c>
      <c r="T168" s="49"/>
      <c r="U168" s="47"/>
      <c r="V168" s="47"/>
      <c r="W168" s="44"/>
      <c r="X168" s="47"/>
      <c r="Y168" s="47"/>
      <c r="Z168" s="47"/>
      <c r="AA168" s="47"/>
    </row>
    <row r="169" spans="1:27" x14ac:dyDescent="0.35">
      <c r="A169" s="47">
        <v>147</v>
      </c>
      <c r="B169" s="47">
        <v>1097332019</v>
      </c>
      <c r="C169" s="39">
        <v>106222010288900</v>
      </c>
      <c r="D169" s="49">
        <v>46218</v>
      </c>
      <c r="E169" s="49" t="s">
        <v>67</v>
      </c>
      <c r="F169" s="49">
        <v>46197</v>
      </c>
      <c r="G169" s="49">
        <v>46199</v>
      </c>
      <c r="H169" s="47">
        <v>3</v>
      </c>
      <c r="I169" s="47">
        <v>210</v>
      </c>
      <c r="J169" s="47" t="s">
        <v>203</v>
      </c>
      <c r="K169" s="47">
        <v>1750912</v>
      </c>
      <c r="L169" s="47">
        <v>1750912</v>
      </c>
      <c r="M169" s="50">
        <v>30</v>
      </c>
      <c r="N169" s="49">
        <v>45975</v>
      </c>
      <c r="O169" s="49">
        <v>46334</v>
      </c>
      <c r="P169" s="51">
        <v>175091</v>
      </c>
      <c r="Q169" s="49">
        <v>46224</v>
      </c>
      <c r="R169" s="49" t="s">
        <v>45</v>
      </c>
      <c r="S169" s="47" t="s">
        <v>46</v>
      </c>
      <c r="T169" s="49"/>
      <c r="U169" s="47"/>
      <c r="V169" s="47"/>
      <c r="W169" s="44"/>
      <c r="X169" s="47"/>
      <c r="Y169" s="47"/>
      <c r="Z169" s="47"/>
      <c r="AA169" s="47"/>
    </row>
    <row r="170" spans="1:27" x14ac:dyDescent="0.35">
      <c r="A170" s="47">
        <v>148</v>
      </c>
      <c r="B170" s="47">
        <v>1097332019</v>
      </c>
      <c r="C170" s="39">
        <v>106222010288900</v>
      </c>
      <c r="D170" s="49">
        <v>46218</v>
      </c>
      <c r="E170" s="49" t="s">
        <v>67</v>
      </c>
      <c r="F170" s="49">
        <v>46210</v>
      </c>
      <c r="G170" s="49">
        <v>46222</v>
      </c>
      <c r="H170" s="47">
        <v>13</v>
      </c>
      <c r="I170" s="47">
        <v>223</v>
      </c>
      <c r="J170" s="47" t="s">
        <v>204</v>
      </c>
      <c r="K170" s="47">
        <v>1750912</v>
      </c>
      <c r="L170" s="47">
        <v>1750912</v>
      </c>
      <c r="M170" s="50">
        <v>30</v>
      </c>
      <c r="N170" s="49">
        <v>45975</v>
      </c>
      <c r="O170" s="49">
        <v>46334</v>
      </c>
      <c r="P170" s="51">
        <v>758726</v>
      </c>
      <c r="Q170" s="49">
        <v>46224</v>
      </c>
      <c r="R170" s="49" t="s">
        <v>45</v>
      </c>
      <c r="S170" s="47" t="s">
        <v>46</v>
      </c>
      <c r="T170" s="49"/>
      <c r="U170" s="47"/>
      <c r="V170" s="47"/>
      <c r="W170" s="44"/>
      <c r="X170" s="47"/>
      <c r="Y170" s="47"/>
      <c r="Z170" s="47"/>
      <c r="AA170" s="47"/>
    </row>
    <row r="171" spans="1:27" x14ac:dyDescent="0.35">
      <c r="A171" s="47">
        <v>53</v>
      </c>
      <c r="B171" s="47">
        <v>1098621820</v>
      </c>
      <c r="C171" s="39">
        <v>106328010734200</v>
      </c>
      <c r="D171" s="49">
        <v>46219</v>
      </c>
      <c r="E171" s="49" t="s">
        <v>67</v>
      </c>
      <c r="F171" s="49">
        <v>46172</v>
      </c>
      <c r="G171" s="49">
        <v>46201</v>
      </c>
      <c r="H171" s="47">
        <v>30</v>
      </c>
      <c r="I171" s="47">
        <v>330</v>
      </c>
      <c r="J171" s="47" t="s">
        <v>228</v>
      </c>
      <c r="K171" s="47" t="s">
        <v>93</v>
      </c>
      <c r="L171" s="47" t="s">
        <v>93</v>
      </c>
      <c r="M171" s="50" t="s">
        <v>70</v>
      </c>
      <c r="N171" s="49">
        <v>45872</v>
      </c>
      <c r="O171" s="49">
        <v>46231</v>
      </c>
      <c r="P171" s="51">
        <v>1750905</v>
      </c>
      <c r="Q171" s="49">
        <v>46224</v>
      </c>
      <c r="R171" s="49" t="s">
        <v>45</v>
      </c>
      <c r="S171" s="47" t="s">
        <v>46</v>
      </c>
      <c r="T171" s="49"/>
      <c r="U171" s="47"/>
      <c r="V171" s="47"/>
      <c r="W171" s="44"/>
      <c r="X171" s="47"/>
      <c r="Y171" s="47"/>
      <c r="Z171" s="47"/>
      <c r="AA171" s="47"/>
    </row>
    <row r="172" spans="1:27" x14ac:dyDescent="0.35">
      <c r="A172" s="47">
        <v>143</v>
      </c>
      <c r="B172" s="47">
        <v>1098747483</v>
      </c>
      <c r="C172" s="39">
        <v>106222010288600</v>
      </c>
      <c r="D172" s="49">
        <v>46218</v>
      </c>
      <c r="E172" s="49" t="s">
        <v>67</v>
      </c>
      <c r="F172" s="49">
        <v>46195</v>
      </c>
      <c r="G172" s="49">
        <v>46223</v>
      </c>
      <c r="H172" s="47">
        <v>29</v>
      </c>
      <c r="I172" s="47">
        <v>359</v>
      </c>
      <c r="J172" s="47" t="s">
        <v>91</v>
      </c>
      <c r="K172" s="47" t="s">
        <v>93</v>
      </c>
      <c r="L172" s="47" t="s">
        <v>93</v>
      </c>
      <c r="M172" s="50" t="s">
        <v>70</v>
      </c>
      <c r="N172" s="49">
        <v>45864</v>
      </c>
      <c r="O172" s="49">
        <v>46223</v>
      </c>
      <c r="P172" s="51">
        <v>1692542</v>
      </c>
      <c r="Q172" s="49">
        <v>46224</v>
      </c>
      <c r="R172" s="49" t="s">
        <v>45</v>
      </c>
      <c r="S172" s="47" t="s">
        <v>46</v>
      </c>
      <c r="T172" s="49"/>
      <c r="U172" s="47"/>
      <c r="V172" s="47"/>
      <c r="W172" s="44"/>
      <c r="X172" s="47"/>
      <c r="Y172" s="47"/>
      <c r="Z172" s="47"/>
      <c r="AA172" s="47"/>
    </row>
    <row r="173" spans="1:27" x14ac:dyDescent="0.35">
      <c r="A173" s="47">
        <v>155</v>
      </c>
      <c r="B173" s="47">
        <v>1098825238</v>
      </c>
      <c r="C173" s="39">
        <v>106328010733000</v>
      </c>
      <c r="D173" s="49">
        <v>46218</v>
      </c>
      <c r="E173" s="49" t="s">
        <v>67</v>
      </c>
      <c r="F173" s="49">
        <v>46204</v>
      </c>
      <c r="G173" s="49">
        <v>46233</v>
      </c>
      <c r="H173" s="47">
        <v>30</v>
      </c>
      <c r="I173" s="47">
        <v>179</v>
      </c>
      <c r="J173" s="47" t="s">
        <v>205</v>
      </c>
      <c r="K173" s="47">
        <v>1750905</v>
      </c>
      <c r="L173" s="47">
        <v>1750905</v>
      </c>
      <c r="M173" s="50">
        <v>30</v>
      </c>
      <c r="N173" s="49">
        <v>46055</v>
      </c>
      <c r="O173" s="49">
        <v>46414</v>
      </c>
      <c r="P173" s="51">
        <v>1750905</v>
      </c>
      <c r="Q173" s="49">
        <v>46224</v>
      </c>
      <c r="R173" s="49" t="s">
        <v>45</v>
      </c>
      <c r="S173" s="47" t="s">
        <v>46</v>
      </c>
      <c r="T173" s="49"/>
      <c r="U173" s="47"/>
      <c r="V173" s="47"/>
      <c r="W173" s="44"/>
      <c r="X173" s="47"/>
      <c r="Y173" s="47"/>
      <c r="Z173" s="47"/>
      <c r="AA173" s="47"/>
    </row>
    <row r="174" spans="1:27" x14ac:dyDescent="0.35">
      <c r="A174" s="47">
        <v>40</v>
      </c>
      <c r="B174" s="47">
        <v>1099552415</v>
      </c>
      <c r="C174" s="39">
        <v>4107413227143700</v>
      </c>
      <c r="D174" s="49">
        <v>46219</v>
      </c>
      <c r="E174" s="49" t="s">
        <v>67</v>
      </c>
      <c r="F174" s="49">
        <v>46170</v>
      </c>
      <c r="G174" s="49">
        <v>46172</v>
      </c>
      <c r="H174" s="47">
        <v>3</v>
      </c>
      <c r="I174" s="47">
        <v>344</v>
      </c>
      <c r="J174" s="47" t="s">
        <v>145</v>
      </c>
      <c r="K174" s="47">
        <v>2410800</v>
      </c>
      <c r="L174" s="47">
        <v>2410800</v>
      </c>
      <c r="M174" s="50">
        <v>30</v>
      </c>
      <c r="N174" s="49">
        <v>45813</v>
      </c>
      <c r="O174" s="49">
        <v>46172</v>
      </c>
      <c r="P174" s="51">
        <v>175091</v>
      </c>
      <c r="Q174" s="49">
        <v>46224</v>
      </c>
      <c r="R174" s="49" t="s">
        <v>45</v>
      </c>
      <c r="S174" s="47" t="s">
        <v>46</v>
      </c>
      <c r="T174" s="49"/>
      <c r="U174" s="47"/>
      <c r="V174" s="47"/>
      <c r="W174" s="44"/>
      <c r="X174" s="47"/>
      <c r="Y174" s="47"/>
      <c r="Z174" s="47"/>
      <c r="AA174" s="47"/>
    </row>
    <row r="175" spans="1:27" x14ac:dyDescent="0.35">
      <c r="A175" s="47">
        <v>194</v>
      </c>
      <c r="B175" s="47">
        <v>1101202733</v>
      </c>
      <c r="C175" s="39">
        <v>106328010721100</v>
      </c>
      <c r="D175" s="49">
        <v>46198</v>
      </c>
      <c r="E175" s="52" t="s">
        <v>24</v>
      </c>
      <c r="F175" s="52">
        <v>46054</v>
      </c>
      <c r="G175" s="52">
        <v>46066</v>
      </c>
      <c r="H175" s="47">
        <v>13</v>
      </c>
      <c r="I175" s="47">
        <v>13</v>
      </c>
      <c r="J175" s="47" t="s">
        <v>206</v>
      </c>
      <c r="K175" s="47">
        <v>3945960</v>
      </c>
      <c r="L175" s="47">
        <v>3945960</v>
      </c>
      <c r="M175" s="50">
        <v>30</v>
      </c>
      <c r="N175" s="49">
        <v>46019</v>
      </c>
      <c r="O175" s="49">
        <v>46378</v>
      </c>
      <c r="P175" s="51">
        <v>854958</v>
      </c>
      <c r="Q175" s="49">
        <v>46224</v>
      </c>
      <c r="R175" s="49" t="s">
        <v>45</v>
      </c>
      <c r="S175" s="47" t="s">
        <v>46</v>
      </c>
      <c r="T175" s="49"/>
      <c r="U175" s="47"/>
      <c r="V175" s="47"/>
      <c r="W175" s="44" t="s">
        <v>207</v>
      </c>
      <c r="X175" s="47"/>
      <c r="Y175" s="47"/>
      <c r="Z175" s="47"/>
      <c r="AA175" s="47"/>
    </row>
    <row r="176" spans="1:27" x14ac:dyDescent="0.35">
      <c r="A176" s="47">
        <v>195</v>
      </c>
      <c r="B176" s="47">
        <v>1101202733</v>
      </c>
      <c r="C176" s="39">
        <v>106328010721100</v>
      </c>
      <c r="D176" s="49">
        <v>46198</v>
      </c>
      <c r="E176" s="52" t="s">
        <v>67</v>
      </c>
      <c r="F176" s="52">
        <v>46069</v>
      </c>
      <c r="G176" s="52">
        <v>46083</v>
      </c>
      <c r="H176" s="47">
        <v>15</v>
      </c>
      <c r="I176" s="47">
        <v>28</v>
      </c>
      <c r="J176" s="47" t="s">
        <v>208</v>
      </c>
      <c r="K176" s="47" t="s">
        <v>209</v>
      </c>
      <c r="L176" s="47" t="s">
        <v>209</v>
      </c>
      <c r="M176" s="50" t="s">
        <v>70</v>
      </c>
      <c r="N176" s="49">
        <v>46019</v>
      </c>
      <c r="O176" s="49">
        <v>46378</v>
      </c>
      <c r="P176" s="51">
        <v>986490</v>
      </c>
      <c r="Q176" s="49">
        <v>46224</v>
      </c>
      <c r="R176" s="49" t="s">
        <v>45</v>
      </c>
      <c r="S176" s="47" t="s">
        <v>46</v>
      </c>
      <c r="T176" s="49"/>
      <c r="U176" s="47"/>
      <c r="V176" s="47"/>
      <c r="W176" s="44" t="s">
        <v>207</v>
      </c>
      <c r="X176" s="47"/>
      <c r="Y176" s="47"/>
      <c r="Z176" s="47"/>
      <c r="AA176" s="47"/>
    </row>
    <row r="177" spans="1:27" x14ac:dyDescent="0.35">
      <c r="A177" s="47">
        <v>196</v>
      </c>
      <c r="B177" s="47">
        <v>1101202733</v>
      </c>
      <c r="C177" s="39">
        <v>106328010721100</v>
      </c>
      <c r="D177" s="49">
        <v>46198</v>
      </c>
      <c r="E177" s="52" t="s">
        <v>67</v>
      </c>
      <c r="F177" s="52">
        <v>46085</v>
      </c>
      <c r="G177" s="52">
        <v>46091</v>
      </c>
      <c r="H177" s="47">
        <v>7</v>
      </c>
      <c r="I177" s="47">
        <v>35</v>
      </c>
      <c r="J177" s="47" t="s">
        <v>208</v>
      </c>
      <c r="K177" s="47">
        <v>3945960</v>
      </c>
      <c r="L177" s="47">
        <v>3945960</v>
      </c>
      <c r="M177" s="50">
        <v>30</v>
      </c>
      <c r="N177" s="49">
        <v>46019</v>
      </c>
      <c r="O177" s="49">
        <v>46378</v>
      </c>
      <c r="P177" s="51">
        <v>460362</v>
      </c>
      <c r="Q177" s="49">
        <v>46224</v>
      </c>
      <c r="R177" s="49" t="s">
        <v>45</v>
      </c>
      <c r="S177" s="47" t="s">
        <v>46</v>
      </c>
      <c r="T177" s="49"/>
      <c r="U177" s="47"/>
      <c r="V177" s="47"/>
      <c r="W177" s="44" t="s">
        <v>207</v>
      </c>
      <c r="X177" s="47"/>
      <c r="Y177" s="47"/>
      <c r="Z177" s="47"/>
      <c r="AA177" s="47"/>
    </row>
    <row r="178" spans="1:27" x14ac:dyDescent="0.35">
      <c r="A178" s="47">
        <v>197</v>
      </c>
      <c r="B178" s="47">
        <v>1101202733</v>
      </c>
      <c r="C178" s="39">
        <v>106328010721100</v>
      </c>
      <c r="D178" s="49">
        <v>46198</v>
      </c>
      <c r="E178" s="52" t="s">
        <v>67</v>
      </c>
      <c r="F178" s="52">
        <v>46118</v>
      </c>
      <c r="G178" s="52">
        <v>46147</v>
      </c>
      <c r="H178" s="47">
        <v>30</v>
      </c>
      <c r="I178" s="47">
        <v>65</v>
      </c>
      <c r="J178" s="47" t="s">
        <v>210</v>
      </c>
      <c r="K178" s="47" t="s">
        <v>209</v>
      </c>
      <c r="L178" s="47" t="s">
        <v>209</v>
      </c>
      <c r="M178" s="50" t="s">
        <v>70</v>
      </c>
      <c r="N178" s="49">
        <v>46019</v>
      </c>
      <c r="O178" s="49">
        <v>46378</v>
      </c>
      <c r="P178" s="51">
        <v>1972980</v>
      </c>
      <c r="Q178" s="49">
        <v>46224</v>
      </c>
      <c r="R178" s="49" t="s">
        <v>45</v>
      </c>
      <c r="S178" s="47" t="s">
        <v>46</v>
      </c>
      <c r="T178" s="49"/>
      <c r="U178" s="47"/>
      <c r="V178" s="47"/>
      <c r="W178" s="44" t="s">
        <v>207</v>
      </c>
      <c r="X178" s="47"/>
      <c r="Y178" s="47"/>
      <c r="Z178" s="47"/>
      <c r="AA178" s="47"/>
    </row>
    <row r="179" spans="1:27" x14ac:dyDescent="0.35">
      <c r="A179" s="47">
        <v>136</v>
      </c>
      <c r="B179" s="47">
        <v>1109184329</v>
      </c>
      <c r="C179" s="39">
        <v>103862022098900</v>
      </c>
      <c r="D179" s="49">
        <v>46218</v>
      </c>
      <c r="E179" s="49" t="s">
        <v>67</v>
      </c>
      <c r="F179" s="49">
        <v>46212</v>
      </c>
      <c r="G179" s="49">
        <v>46212</v>
      </c>
      <c r="H179" s="47">
        <v>1</v>
      </c>
      <c r="I179" s="47">
        <v>155</v>
      </c>
      <c r="J179" s="47" t="s">
        <v>84</v>
      </c>
      <c r="K179" s="47">
        <v>1750906</v>
      </c>
      <c r="L179" s="47">
        <v>1750906</v>
      </c>
      <c r="M179" s="50">
        <v>30</v>
      </c>
      <c r="N179" s="49">
        <v>46057</v>
      </c>
      <c r="O179" s="49">
        <v>46416</v>
      </c>
      <c r="P179" s="51">
        <v>58364</v>
      </c>
      <c r="Q179" s="49">
        <v>46224</v>
      </c>
      <c r="R179" s="49" t="s">
        <v>45</v>
      </c>
      <c r="S179" s="47" t="s">
        <v>46</v>
      </c>
      <c r="T179" s="49"/>
      <c r="U179" s="47"/>
      <c r="V179" s="47"/>
      <c r="W179" s="44"/>
      <c r="X179" s="47"/>
      <c r="Y179" s="47"/>
      <c r="Z179" s="47"/>
      <c r="AA179" s="47"/>
    </row>
    <row r="180" spans="1:27" x14ac:dyDescent="0.35">
      <c r="A180" s="47">
        <v>133</v>
      </c>
      <c r="B180" s="47">
        <v>1109414336</v>
      </c>
      <c r="C180" s="39">
        <v>4107413227080500</v>
      </c>
      <c r="D180" s="49">
        <v>46218</v>
      </c>
      <c r="E180" s="49" t="s">
        <v>67</v>
      </c>
      <c r="F180" s="49">
        <v>46213</v>
      </c>
      <c r="G180" s="49">
        <v>46222</v>
      </c>
      <c r="H180" s="47">
        <v>10</v>
      </c>
      <c r="I180" s="47">
        <v>90</v>
      </c>
      <c r="J180" s="47" t="s">
        <v>211</v>
      </c>
      <c r="K180" s="47">
        <v>1750906</v>
      </c>
      <c r="L180" s="47">
        <v>1750906</v>
      </c>
      <c r="M180" s="50">
        <v>30</v>
      </c>
      <c r="N180" s="49">
        <v>46128</v>
      </c>
      <c r="O180" s="49">
        <v>46487</v>
      </c>
      <c r="P180" s="51">
        <v>583635</v>
      </c>
      <c r="Q180" s="49">
        <v>46224</v>
      </c>
      <c r="R180" s="49" t="s">
        <v>45</v>
      </c>
      <c r="S180" s="47" t="s">
        <v>46</v>
      </c>
      <c r="T180" s="49"/>
      <c r="U180" s="47"/>
      <c r="V180" s="47"/>
      <c r="W180" s="44"/>
      <c r="X180" s="47"/>
      <c r="Y180" s="47"/>
      <c r="Z180" s="47"/>
      <c r="AA180" s="47"/>
    </row>
    <row r="181" spans="1:27" x14ac:dyDescent="0.35">
      <c r="A181" s="47">
        <v>122</v>
      </c>
      <c r="B181" s="47">
        <v>1110518705</v>
      </c>
      <c r="C181" s="39">
        <v>4107413227044500</v>
      </c>
      <c r="D181" s="49">
        <v>46218</v>
      </c>
      <c r="E181" s="49" t="s">
        <v>67</v>
      </c>
      <c r="F181" s="49">
        <v>46213</v>
      </c>
      <c r="G181" s="49">
        <v>46222</v>
      </c>
      <c r="H181" s="47">
        <v>10</v>
      </c>
      <c r="I181" s="47">
        <v>288</v>
      </c>
      <c r="J181" s="47" t="s">
        <v>212</v>
      </c>
      <c r="K181" s="47">
        <v>1750905</v>
      </c>
      <c r="L181" s="47">
        <v>1750905</v>
      </c>
      <c r="M181" s="50">
        <v>30</v>
      </c>
      <c r="N181" s="49">
        <v>45884</v>
      </c>
      <c r="O181" s="49">
        <v>46243</v>
      </c>
      <c r="P181" s="51">
        <v>583635</v>
      </c>
      <c r="Q181" s="49">
        <v>46224</v>
      </c>
      <c r="R181" s="49" t="s">
        <v>45</v>
      </c>
      <c r="S181" s="47" t="s">
        <v>46</v>
      </c>
      <c r="T181" s="49"/>
      <c r="U181" s="47"/>
      <c r="V181" s="47"/>
      <c r="W181" s="44"/>
      <c r="X181" s="47"/>
      <c r="Y181" s="47"/>
      <c r="Z181" s="47"/>
      <c r="AA181" s="47"/>
    </row>
    <row r="182" spans="1:27" x14ac:dyDescent="0.35">
      <c r="A182" s="47">
        <v>84</v>
      </c>
      <c r="B182" s="47">
        <v>1112759695</v>
      </c>
      <c r="C182" s="39">
        <v>103873009786800</v>
      </c>
      <c r="D182" s="49">
        <v>46219</v>
      </c>
      <c r="E182" s="49" t="s">
        <v>67</v>
      </c>
      <c r="F182" s="49">
        <v>46219</v>
      </c>
      <c r="G182" s="49">
        <v>46229</v>
      </c>
      <c r="H182" s="47">
        <v>11</v>
      </c>
      <c r="I182" s="47">
        <v>117</v>
      </c>
      <c r="J182" s="47" t="s">
        <v>213</v>
      </c>
      <c r="K182" s="47">
        <v>1750906</v>
      </c>
      <c r="L182" s="47">
        <v>1750906</v>
      </c>
      <c r="M182" s="50">
        <v>30</v>
      </c>
      <c r="N182" s="49">
        <v>46105</v>
      </c>
      <c r="O182" s="49">
        <v>46464</v>
      </c>
      <c r="P182" s="51">
        <v>641999</v>
      </c>
      <c r="Q182" s="49">
        <v>46224</v>
      </c>
      <c r="R182" s="49" t="s">
        <v>45</v>
      </c>
      <c r="S182" s="47" t="s">
        <v>46</v>
      </c>
      <c r="T182" s="49"/>
      <c r="U182" s="47"/>
      <c r="V182" s="47"/>
      <c r="W182" s="44"/>
      <c r="X182" s="47"/>
      <c r="Y182" s="47"/>
      <c r="Z182" s="47"/>
      <c r="AA182" s="47"/>
    </row>
    <row r="183" spans="1:27" x14ac:dyDescent="0.35">
      <c r="A183" s="47">
        <v>49</v>
      </c>
      <c r="B183" s="47">
        <v>1113592583</v>
      </c>
      <c r="C183" s="39">
        <v>103873009791800</v>
      </c>
      <c r="D183" s="49">
        <v>46219</v>
      </c>
      <c r="E183" s="49" t="s">
        <v>67</v>
      </c>
      <c r="F183" s="49">
        <v>46202</v>
      </c>
      <c r="G183" s="49">
        <v>46216</v>
      </c>
      <c r="H183" s="47">
        <v>15</v>
      </c>
      <c r="I183" s="47">
        <v>118</v>
      </c>
      <c r="J183" s="47" t="s">
        <v>89</v>
      </c>
      <c r="K183" s="47" t="s">
        <v>93</v>
      </c>
      <c r="L183" s="47" t="s">
        <v>93</v>
      </c>
      <c r="M183" s="50" t="s">
        <v>70</v>
      </c>
      <c r="N183" s="49">
        <v>46097</v>
      </c>
      <c r="O183" s="49">
        <v>46456</v>
      </c>
      <c r="P183" s="51">
        <v>875453</v>
      </c>
      <c r="Q183" s="49">
        <v>46224</v>
      </c>
      <c r="R183" s="49" t="s">
        <v>45</v>
      </c>
      <c r="S183" s="47" t="s">
        <v>46</v>
      </c>
      <c r="T183" s="49"/>
      <c r="U183" s="47"/>
      <c r="V183" s="47"/>
      <c r="W183" s="44"/>
      <c r="X183" s="47"/>
      <c r="Y183" s="47"/>
      <c r="Z183" s="47"/>
      <c r="AA183" s="47"/>
    </row>
    <row r="184" spans="1:27" x14ac:dyDescent="0.35">
      <c r="A184" s="47">
        <v>180</v>
      </c>
      <c r="B184" s="47">
        <v>1114822015</v>
      </c>
      <c r="C184" s="39">
        <v>103862022099000</v>
      </c>
      <c r="D184" s="49">
        <v>46218</v>
      </c>
      <c r="E184" s="49" t="s">
        <v>67</v>
      </c>
      <c r="F184" s="49">
        <v>46196</v>
      </c>
      <c r="G184" s="49">
        <v>46205</v>
      </c>
      <c r="H184" s="47">
        <v>10</v>
      </c>
      <c r="I184" s="47">
        <v>276</v>
      </c>
      <c r="J184" s="47" t="s">
        <v>211</v>
      </c>
      <c r="K184" s="47" t="s">
        <v>78</v>
      </c>
      <c r="L184" s="47" t="s">
        <v>78</v>
      </c>
      <c r="M184" s="50" t="s">
        <v>70</v>
      </c>
      <c r="N184" s="49">
        <v>45930</v>
      </c>
      <c r="O184" s="49">
        <v>46289</v>
      </c>
      <c r="P184" s="51">
        <v>583635</v>
      </c>
      <c r="Q184" s="49">
        <v>46224</v>
      </c>
      <c r="R184" s="49" t="s">
        <v>45</v>
      </c>
      <c r="S184" s="47" t="s">
        <v>46</v>
      </c>
      <c r="T184" s="49"/>
      <c r="U184" s="47"/>
      <c r="V184" s="47"/>
      <c r="W184" s="44"/>
      <c r="X184" s="47"/>
      <c r="Y184" s="47"/>
      <c r="Z184" s="47"/>
      <c r="AA184" s="47"/>
    </row>
    <row r="185" spans="1:27" x14ac:dyDescent="0.35">
      <c r="A185" s="47">
        <v>172</v>
      </c>
      <c r="B185" s="47">
        <v>1116443124</v>
      </c>
      <c r="C185" s="39">
        <v>103872016725100</v>
      </c>
      <c r="D185" s="49">
        <v>46218</v>
      </c>
      <c r="E185" s="49" t="s">
        <v>67</v>
      </c>
      <c r="F185" s="49">
        <v>46201</v>
      </c>
      <c r="G185" s="49">
        <v>46214</v>
      </c>
      <c r="H185" s="47">
        <v>14</v>
      </c>
      <c r="I185" s="47">
        <v>226</v>
      </c>
      <c r="J185" s="47" t="s">
        <v>105</v>
      </c>
      <c r="K185" s="47" t="s">
        <v>78</v>
      </c>
      <c r="L185" s="47" t="s">
        <v>78</v>
      </c>
      <c r="M185" s="50" t="s">
        <v>70</v>
      </c>
      <c r="N185" s="49">
        <v>45989</v>
      </c>
      <c r="O185" s="49">
        <v>46348</v>
      </c>
      <c r="P185" s="51">
        <v>817089</v>
      </c>
      <c r="Q185" s="49">
        <v>46224</v>
      </c>
      <c r="R185" s="49" t="s">
        <v>45</v>
      </c>
      <c r="S185" s="47" t="s">
        <v>46</v>
      </c>
      <c r="T185" s="49"/>
      <c r="U185" s="47"/>
      <c r="V185" s="47"/>
      <c r="W185" s="44"/>
      <c r="X185" s="47"/>
      <c r="Y185" s="47"/>
      <c r="Z185" s="47"/>
      <c r="AA185" s="47"/>
    </row>
    <row r="186" spans="1:27" x14ac:dyDescent="0.35">
      <c r="A186" s="47">
        <v>174</v>
      </c>
      <c r="B186" s="47">
        <v>1116443124</v>
      </c>
      <c r="C186" s="39">
        <v>103872016725100</v>
      </c>
      <c r="D186" s="49">
        <v>46218</v>
      </c>
      <c r="E186" s="49" t="s">
        <v>67</v>
      </c>
      <c r="F186" s="49">
        <v>46201</v>
      </c>
      <c r="G186" s="49">
        <v>46214</v>
      </c>
      <c r="H186" s="47">
        <v>14</v>
      </c>
      <c r="I186" s="47">
        <v>226</v>
      </c>
      <c r="J186" s="47" t="s">
        <v>105</v>
      </c>
      <c r="K186" s="47" t="s">
        <v>78</v>
      </c>
      <c r="L186" s="47" t="s">
        <v>78</v>
      </c>
      <c r="M186" s="50" t="s">
        <v>70</v>
      </c>
      <c r="N186" s="49">
        <v>45989</v>
      </c>
      <c r="O186" s="49">
        <v>46348</v>
      </c>
      <c r="P186" s="51">
        <v>817089</v>
      </c>
      <c r="Q186" s="49">
        <v>46224</v>
      </c>
      <c r="R186" s="49" t="s">
        <v>45</v>
      </c>
      <c r="S186" s="47" t="s">
        <v>46</v>
      </c>
      <c r="T186" s="49"/>
      <c r="U186" s="47"/>
      <c r="V186" s="47"/>
      <c r="W186" s="44"/>
      <c r="X186" s="47"/>
      <c r="Y186" s="47"/>
      <c r="Z186" s="47"/>
      <c r="AA186" s="47"/>
    </row>
    <row r="187" spans="1:27" x14ac:dyDescent="0.35">
      <c r="A187" s="47">
        <v>188</v>
      </c>
      <c r="B187" s="47">
        <v>1118024895</v>
      </c>
      <c r="C187" s="39">
        <v>105705005757100</v>
      </c>
      <c r="D187" s="49">
        <v>46213</v>
      </c>
      <c r="E187" s="49" t="s">
        <v>67</v>
      </c>
      <c r="F187" s="49">
        <v>46204</v>
      </c>
      <c r="G187" s="49">
        <v>46241</v>
      </c>
      <c r="H187" s="47">
        <v>38</v>
      </c>
      <c r="I187" s="47">
        <v>61</v>
      </c>
      <c r="J187" s="47" t="s">
        <v>148</v>
      </c>
      <c r="K187" s="47" t="s">
        <v>93</v>
      </c>
      <c r="L187" s="47" t="s">
        <v>93</v>
      </c>
      <c r="M187" s="50" t="s">
        <v>70</v>
      </c>
      <c r="N187" s="49">
        <v>46178</v>
      </c>
      <c r="O187" s="49">
        <v>46537</v>
      </c>
      <c r="P187" s="51">
        <v>2217813</v>
      </c>
      <c r="Q187" s="49">
        <v>46224</v>
      </c>
      <c r="R187" s="49" t="s">
        <v>45</v>
      </c>
      <c r="S187" s="47" t="s">
        <v>46</v>
      </c>
      <c r="T187" s="49"/>
      <c r="U187" s="47"/>
      <c r="V187" s="47"/>
      <c r="W187" s="44"/>
      <c r="X187" s="47"/>
      <c r="Y187" s="47"/>
      <c r="Z187" s="47"/>
      <c r="AA187" s="47"/>
    </row>
    <row r="188" spans="1:27" x14ac:dyDescent="0.35">
      <c r="A188" s="47">
        <v>146</v>
      </c>
      <c r="B188" s="47">
        <v>1120358155</v>
      </c>
      <c r="C188" s="39">
        <v>4107413227112100</v>
      </c>
      <c r="D188" s="49">
        <v>46218</v>
      </c>
      <c r="E188" s="49" t="s">
        <v>67</v>
      </c>
      <c r="F188" s="49">
        <v>46160</v>
      </c>
      <c r="G188" s="49">
        <v>46180</v>
      </c>
      <c r="H188" s="47">
        <v>21</v>
      </c>
      <c r="I188" s="47">
        <v>360</v>
      </c>
      <c r="J188" s="47" t="s">
        <v>95</v>
      </c>
      <c r="K188" s="47" t="s">
        <v>93</v>
      </c>
      <c r="L188" s="47" t="s">
        <v>93</v>
      </c>
      <c r="M188" s="50" t="s">
        <v>70</v>
      </c>
      <c r="N188" s="49">
        <v>45821</v>
      </c>
      <c r="O188" s="49">
        <v>46180</v>
      </c>
      <c r="P188" s="51">
        <v>1225634</v>
      </c>
      <c r="Q188" s="49">
        <v>46224</v>
      </c>
      <c r="R188" s="49" t="s">
        <v>45</v>
      </c>
      <c r="S188" s="47" t="s">
        <v>46</v>
      </c>
      <c r="T188" s="49"/>
      <c r="U188" s="47"/>
      <c r="V188" s="47"/>
      <c r="W188" s="44"/>
      <c r="X188" s="47"/>
      <c r="Y188" s="47"/>
      <c r="Z188" s="47"/>
      <c r="AA188" s="47"/>
    </row>
    <row r="189" spans="1:27" x14ac:dyDescent="0.35">
      <c r="A189" s="47">
        <v>36</v>
      </c>
      <c r="B189" s="47">
        <v>1120388087</v>
      </c>
      <c r="C189" s="39">
        <v>4100292633319600</v>
      </c>
      <c r="D189" s="49">
        <v>46218</v>
      </c>
      <c r="E189" s="49" t="s">
        <v>67</v>
      </c>
      <c r="F189" s="49">
        <v>46139</v>
      </c>
      <c r="G189" s="49">
        <v>46177</v>
      </c>
      <c r="H189" s="47">
        <v>39</v>
      </c>
      <c r="I189" s="47">
        <v>123</v>
      </c>
      <c r="J189" s="47" t="s">
        <v>214</v>
      </c>
      <c r="K189" s="47" t="s">
        <v>75</v>
      </c>
      <c r="L189" s="47" t="s">
        <v>75</v>
      </c>
      <c r="M189" s="50" t="s">
        <v>76</v>
      </c>
      <c r="N189" s="49">
        <v>45962</v>
      </c>
      <c r="O189" s="49">
        <v>46321</v>
      </c>
      <c r="P189" s="51">
        <v>2276177</v>
      </c>
      <c r="Q189" s="49">
        <v>46224</v>
      </c>
      <c r="R189" s="49" t="s">
        <v>45</v>
      </c>
      <c r="S189" s="47" t="s">
        <v>46</v>
      </c>
      <c r="T189" s="49"/>
      <c r="U189" s="47"/>
      <c r="V189" s="47"/>
      <c r="W189" s="44"/>
      <c r="X189" s="47"/>
      <c r="Y189" s="47"/>
      <c r="Z189" s="47"/>
      <c r="AA189" s="47"/>
    </row>
    <row r="190" spans="1:27" x14ac:dyDescent="0.35">
      <c r="A190" s="47">
        <v>4</v>
      </c>
      <c r="B190" s="47">
        <v>1121873942</v>
      </c>
      <c r="C190" s="39">
        <v>4107413227176700</v>
      </c>
      <c r="D190" s="49">
        <v>46219</v>
      </c>
      <c r="E190" s="49" t="s">
        <v>67</v>
      </c>
      <c r="F190" s="49">
        <v>46203</v>
      </c>
      <c r="G190" s="49">
        <v>46222</v>
      </c>
      <c r="H190" s="47">
        <v>20</v>
      </c>
      <c r="I190" s="47">
        <v>59</v>
      </c>
      <c r="J190" s="47" t="s">
        <v>215</v>
      </c>
      <c r="K190" s="47" t="s">
        <v>78</v>
      </c>
      <c r="L190" s="47" t="s">
        <v>78</v>
      </c>
      <c r="M190" s="50" t="s">
        <v>70</v>
      </c>
      <c r="N190" s="49">
        <v>46150</v>
      </c>
      <c r="O190" s="49">
        <v>46509</v>
      </c>
      <c r="P190" s="51">
        <v>1167270</v>
      </c>
      <c r="Q190" s="49">
        <v>46224</v>
      </c>
      <c r="R190" s="49" t="s">
        <v>45</v>
      </c>
      <c r="S190" s="47" t="s">
        <v>46</v>
      </c>
      <c r="T190" s="49"/>
      <c r="U190" s="47"/>
      <c r="V190" s="47"/>
      <c r="W190" s="44"/>
      <c r="X190" s="47"/>
      <c r="Y190" s="47"/>
      <c r="Z190" s="47"/>
      <c r="AA190" s="47"/>
    </row>
    <row r="191" spans="1:27" x14ac:dyDescent="0.35">
      <c r="A191" s="47">
        <v>52</v>
      </c>
      <c r="B191" s="47">
        <v>1121914295</v>
      </c>
      <c r="C191" s="39">
        <v>4107413227152400</v>
      </c>
      <c r="D191" s="49">
        <v>46219</v>
      </c>
      <c r="E191" s="49" t="s">
        <v>67</v>
      </c>
      <c r="F191" s="49">
        <v>46156</v>
      </c>
      <c r="G191" s="49">
        <v>46201</v>
      </c>
      <c r="H191" s="47">
        <v>46</v>
      </c>
      <c r="I191" s="47">
        <v>360</v>
      </c>
      <c r="J191" s="47" t="s">
        <v>105</v>
      </c>
      <c r="K191" s="47" t="s">
        <v>216</v>
      </c>
      <c r="L191" s="47" t="s">
        <v>216</v>
      </c>
      <c r="M191" s="50" t="s">
        <v>70</v>
      </c>
      <c r="N191" s="49">
        <v>45842</v>
      </c>
      <c r="O191" s="49">
        <v>46201</v>
      </c>
      <c r="P191" s="51">
        <v>2684721</v>
      </c>
      <c r="Q191" s="49">
        <v>46224</v>
      </c>
      <c r="R191" s="49" t="s">
        <v>45</v>
      </c>
      <c r="S191" s="47" t="s">
        <v>46</v>
      </c>
      <c r="T191" s="49"/>
      <c r="U191" s="47"/>
      <c r="V191" s="47"/>
      <c r="W191" s="44"/>
      <c r="X191" s="47"/>
      <c r="Y191" s="47"/>
      <c r="Z191" s="47"/>
      <c r="AA191" s="47"/>
    </row>
    <row r="192" spans="1:27" x14ac:dyDescent="0.35">
      <c r="A192" s="47">
        <v>23</v>
      </c>
      <c r="B192" s="47">
        <v>1125764528</v>
      </c>
      <c r="C192" s="39">
        <v>102222026961200</v>
      </c>
      <c r="D192" s="49">
        <v>46219</v>
      </c>
      <c r="E192" s="49" t="s">
        <v>67</v>
      </c>
      <c r="F192" s="49">
        <v>46203</v>
      </c>
      <c r="G192" s="49">
        <v>46209</v>
      </c>
      <c r="H192" s="47">
        <v>7</v>
      </c>
      <c r="I192" s="47">
        <v>122</v>
      </c>
      <c r="J192" s="47" t="s">
        <v>217</v>
      </c>
      <c r="K192" s="47" t="s">
        <v>78</v>
      </c>
      <c r="L192" s="47" t="s">
        <v>78</v>
      </c>
      <c r="M192" s="50" t="s">
        <v>70</v>
      </c>
      <c r="N192" s="49">
        <v>46067</v>
      </c>
      <c r="O192" s="49">
        <v>46426</v>
      </c>
      <c r="P192" s="51">
        <v>408545</v>
      </c>
      <c r="Q192" s="49">
        <v>46224</v>
      </c>
      <c r="R192" s="49" t="s">
        <v>45</v>
      </c>
      <c r="S192" s="47" t="s">
        <v>46</v>
      </c>
      <c r="T192" s="49"/>
      <c r="U192" s="47"/>
      <c r="V192" s="47"/>
      <c r="W192" s="44"/>
      <c r="X192" s="47"/>
      <c r="Y192" s="47"/>
      <c r="Z192" s="47"/>
      <c r="AA192" s="47"/>
    </row>
    <row r="193" spans="1:27" x14ac:dyDescent="0.35">
      <c r="A193" s="47">
        <v>22</v>
      </c>
      <c r="B193" s="47">
        <v>1125764528</v>
      </c>
      <c r="C193" s="39">
        <v>102222026961200</v>
      </c>
      <c r="D193" s="49">
        <v>46219</v>
      </c>
      <c r="E193" s="49" t="s">
        <v>67</v>
      </c>
      <c r="F193" s="49">
        <v>46211</v>
      </c>
      <c r="G193" s="49">
        <v>46212</v>
      </c>
      <c r="H193" s="47">
        <v>2</v>
      </c>
      <c r="I193" s="47">
        <v>124</v>
      </c>
      <c r="J193" s="47" t="s">
        <v>218</v>
      </c>
      <c r="K193" s="47">
        <v>1750905</v>
      </c>
      <c r="L193" s="47">
        <v>1750905</v>
      </c>
      <c r="M193" s="50">
        <v>30</v>
      </c>
      <c r="N193" s="49">
        <v>46067</v>
      </c>
      <c r="O193" s="49">
        <v>46426</v>
      </c>
      <c r="P193" s="51">
        <v>116727</v>
      </c>
      <c r="Q193" s="49">
        <v>46224</v>
      </c>
      <c r="R193" s="49" t="s">
        <v>45</v>
      </c>
      <c r="S193" s="47" t="s">
        <v>46</v>
      </c>
      <c r="T193" s="49"/>
      <c r="U193" s="47"/>
      <c r="V193" s="47"/>
      <c r="W193" s="44"/>
      <c r="X193" s="47"/>
      <c r="Y193" s="47"/>
      <c r="Z193" s="47"/>
      <c r="AA193" s="47"/>
    </row>
    <row r="194" spans="1:27" x14ac:dyDescent="0.35">
      <c r="A194" s="47">
        <v>46</v>
      </c>
      <c r="B194" s="47">
        <v>1130669545</v>
      </c>
      <c r="C194" s="39">
        <v>103802053250000</v>
      </c>
      <c r="D194" s="49">
        <v>46219</v>
      </c>
      <c r="E194" s="49" t="s">
        <v>67</v>
      </c>
      <c r="F194" s="49">
        <v>46192</v>
      </c>
      <c r="G194" s="49">
        <v>46219</v>
      </c>
      <c r="H194" s="47">
        <v>28</v>
      </c>
      <c r="I194" s="47">
        <v>259</v>
      </c>
      <c r="J194" s="47" t="s">
        <v>219</v>
      </c>
      <c r="K194" s="47" t="s">
        <v>78</v>
      </c>
      <c r="L194" s="47" t="s">
        <v>78</v>
      </c>
      <c r="M194" s="50" t="s">
        <v>70</v>
      </c>
      <c r="N194" s="49">
        <v>45936</v>
      </c>
      <c r="O194" s="49">
        <v>46295</v>
      </c>
      <c r="P194" s="51">
        <v>1634178</v>
      </c>
      <c r="Q194" s="49">
        <v>46224</v>
      </c>
      <c r="R194" s="49" t="s">
        <v>45</v>
      </c>
      <c r="S194" s="47" t="s">
        <v>46</v>
      </c>
      <c r="T194" s="49"/>
      <c r="U194" s="47"/>
      <c r="V194" s="47"/>
      <c r="W194" s="44"/>
      <c r="X194" s="47"/>
      <c r="Y194" s="47"/>
      <c r="Z194" s="47"/>
      <c r="AA194" s="47"/>
    </row>
    <row r="195" spans="1:27" x14ac:dyDescent="0.35">
      <c r="A195" s="47">
        <v>83</v>
      </c>
      <c r="B195" s="47">
        <v>1143364225</v>
      </c>
      <c r="C195" s="39">
        <v>104736034053600</v>
      </c>
      <c r="D195" s="49">
        <v>46219</v>
      </c>
      <c r="E195" s="49" t="s">
        <v>67</v>
      </c>
      <c r="F195" s="49">
        <v>46190</v>
      </c>
      <c r="G195" s="49">
        <v>46223</v>
      </c>
      <c r="H195" s="47">
        <v>34</v>
      </c>
      <c r="I195" s="47">
        <v>159</v>
      </c>
      <c r="J195" s="47" t="s">
        <v>229</v>
      </c>
      <c r="K195" s="47" t="s">
        <v>220</v>
      </c>
      <c r="L195" s="47" t="s">
        <v>220</v>
      </c>
      <c r="M195" s="50" t="s">
        <v>70</v>
      </c>
      <c r="N195" s="49">
        <v>46028</v>
      </c>
      <c r="O195" s="49">
        <v>46387</v>
      </c>
      <c r="P195" s="51">
        <v>1984359</v>
      </c>
      <c r="Q195" s="49">
        <v>46224</v>
      </c>
      <c r="R195" s="49" t="s">
        <v>45</v>
      </c>
      <c r="S195" s="47" t="s">
        <v>46</v>
      </c>
      <c r="T195" s="49"/>
      <c r="U195" s="47"/>
      <c r="V195" s="47"/>
      <c r="W195" s="44"/>
      <c r="X195" s="47"/>
      <c r="Y195" s="47"/>
      <c r="Z195" s="47"/>
      <c r="AA195" s="47"/>
    </row>
    <row r="196" spans="1:27" x14ac:dyDescent="0.35">
      <c r="A196" s="47">
        <v>74</v>
      </c>
      <c r="B196" s="47">
        <v>1144126688</v>
      </c>
      <c r="C196" s="39">
        <v>103802053250400</v>
      </c>
      <c r="D196" s="49">
        <v>46219</v>
      </c>
      <c r="E196" s="49" t="s">
        <v>67</v>
      </c>
      <c r="F196" s="49">
        <v>46206</v>
      </c>
      <c r="G196" s="49">
        <v>46220</v>
      </c>
      <c r="H196" s="47">
        <v>15</v>
      </c>
      <c r="I196" s="47">
        <v>193</v>
      </c>
      <c r="J196" s="47" t="s">
        <v>167</v>
      </c>
      <c r="K196" s="47">
        <v>2669810</v>
      </c>
      <c r="L196" s="47">
        <v>2669810</v>
      </c>
      <c r="M196" s="50">
        <v>30</v>
      </c>
      <c r="N196" s="49">
        <v>46023</v>
      </c>
      <c r="O196" s="49">
        <v>46382</v>
      </c>
      <c r="P196" s="51">
        <v>875453</v>
      </c>
      <c r="Q196" s="49">
        <v>46224</v>
      </c>
      <c r="R196" s="49" t="s">
        <v>45</v>
      </c>
      <c r="S196" s="47" t="s">
        <v>46</v>
      </c>
      <c r="T196" s="49"/>
      <c r="U196" s="47"/>
      <c r="V196" s="47"/>
      <c r="W196" s="44"/>
      <c r="X196" s="47"/>
      <c r="Y196" s="47"/>
      <c r="Z196" s="47"/>
      <c r="AA196" s="47"/>
    </row>
    <row r="197" spans="1:27" x14ac:dyDescent="0.35">
      <c r="A197" s="47">
        <v>72</v>
      </c>
      <c r="B197" s="47">
        <v>1151947977</v>
      </c>
      <c r="C197" s="39">
        <v>103802053249600</v>
      </c>
      <c r="D197" s="49">
        <v>46219</v>
      </c>
      <c r="E197" s="49" t="s">
        <v>67</v>
      </c>
      <c r="F197" s="49">
        <v>46219</v>
      </c>
      <c r="G197" s="49">
        <v>46233</v>
      </c>
      <c r="H197" s="47">
        <v>15</v>
      </c>
      <c r="I197" s="47">
        <v>255</v>
      </c>
      <c r="J197" s="47" t="s">
        <v>221</v>
      </c>
      <c r="K197" s="47">
        <v>1750905</v>
      </c>
      <c r="L197" s="47">
        <v>1750905</v>
      </c>
      <c r="M197" s="50">
        <v>30</v>
      </c>
      <c r="N197" s="49">
        <v>45972</v>
      </c>
      <c r="O197" s="49">
        <v>46331</v>
      </c>
      <c r="P197" s="51">
        <v>875453</v>
      </c>
      <c r="Q197" s="49">
        <v>46224</v>
      </c>
      <c r="R197" s="49" t="s">
        <v>45</v>
      </c>
      <c r="S197" s="47" t="s">
        <v>46</v>
      </c>
      <c r="T197" s="49"/>
      <c r="U197" s="47"/>
      <c r="V197" s="47"/>
      <c r="W197" s="44"/>
      <c r="X197" s="47"/>
      <c r="Y197" s="47"/>
      <c r="Z197" s="47"/>
      <c r="AA197" s="47"/>
    </row>
    <row r="198" spans="1:27" x14ac:dyDescent="0.35">
      <c r="A198" s="47">
        <v>100</v>
      </c>
      <c r="B198" s="47">
        <v>1151949387</v>
      </c>
      <c r="C198" s="39">
        <v>103802053251000</v>
      </c>
      <c r="D198" s="49">
        <v>46219</v>
      </c>
      <c r="E198" s="49" t="s">
        <v>67</v>
      </c>
      <c r="F198" s="49">
        <v>46182</v>
      </c>
      <c r="G198" s="49">
        <v>46241</v>
      </c>
      <c r="H198" s="47">
        <v>60</v>
      </c>
      <c r="I198" s="47">
        <v>113</v>
      </c>
      <c r="J198" s="47" t="s">
        <v>222</v>
      </c>
      <c r="K198" s="47" t="s">
        <v>75</v>
      </c>
      <c r="L198" s="47" t="s">
        <v>75</v>
      </c>
      <c r="M198" s="50" t="s">
        <v>76</v>
      </c>
      <c r="N198" s="49">
        <v>46111</v>
      </c>
      <c r="O198" s="49">
        <v>46470</v>
      </c>
      <c r="P198" s="51">
        <v>3501810</v>
      </c>
      <c r="Q198" s="49">
        <v>46224</v>
      </c>
      <c r="R198" s="49" t="s">
        <v>45</v>
      </c>
      <c r="S198" s="47" t="s">
        <v>46</v>
      </c>
      <c r="T198" s="49"/>
      <c r="U198" s="47"/>
      <c r="V198" s="47"/>
      <c r="W198" s="44"/>
      <c r="X198" s="47"/>
      <c r="Y198" s="47"/>
      <c r="Z198" s="47"/>
      <c r="AA198" s="47"/>
    </row>
    <row r="199" spans="1:27" x14ac:dyDescent="0.35">
      <c r="A199" s="47">
        <v>14</v>
      </c>
      <c r="B199" s="47">
        <v>1152225192</v>
      </c>
      <c r="C199" s="39">
        <v>102222026959700</v>
      </c>
      <c r="D199" s="49">
        <v>46219</v>
      </c>
      <c r="E199" s="49" t="s">
        <v>67</v>
      </c>
      <c r="F199" s="49">
        <v>46216</v>
      </c>
      <c r="G199" s="49">
        <v>46245</v>
      </c>
      <c r="H199" s="47">
        <v>30</v>
      </c>
      <c r="I199" s="47">
        <v>120</v>
      </c>
      <c r="J199" s="47" t="s">
        <v>105</v>
      </c>
      <c r="K199" s="47" t="s">
        <v>78</v>
      </c>
      <c r="L199" s="47" t="s">
        <v>78</v>
      </c>
      <c r="M199" s="50" t="s">
        <v>70</v>
      </c>
      <c r="N199" s="49">
        <v>46088</v>
      </c>
      <c r="O199" s="49">
        <v>46447</v>
      </c>
      <c r="P199" s="51">
        <v>1750905</v>
      </c>
      <c r="Q199" s="49">
        <v>46224</v>
      </c>
      <c r="R199" s="49" t="s">
        <v>45</v>
      </c>
      <c r="S199" s="47" t="s">
        <v>46</v>
      </c>
      <c r="T199" s="49"/>
      <c r="U199" s="47"/>
      <c r="V199" s="47"/>
      <c r="W199" s="44"/>
      <c r="X199" s="47"/>
      <c r="Y199" s="47"/>
      <c r="Z199" s="47"/>
      <c r="AA199" s="47"/>
    </row>
  </sheetData>
  <conditionalFormatting sqref="B2:B199">
    <cfRule type="duplicateValues" dxfId="53" priority="53"/>
    <cfRule type="duplicateValues" dxfId="52" priority="54"/>
  </conditionalFormatting>
  <conditionalFormatting sqref="B2:B190">
    <cfRule type="duplicateValues" dxfId="51" priority="52"/>
  </conditionalFormatting>
  <conditionalFormatting sqref="B193">
    <cfRule type="duplicateValues" dxfId="50" priority="32"/>
    <cfRule type="duplicateValues" dxfId="49" priority="33"/>
    <cfRule type="duplicateValues" dxfId="48" priority="34"/>
    <cfRule type="duplicateValues" dxfId="47" priority="35"/>
    <cfRule type="duplicateValues" dxfId="46" priority="36"/>
    <cfRule type="duplicateValues" dxfId="45" priority="37"/>
    <cfRule type="duplicateValues" dxfId="44" priority="38"/>
    <cfRule type="duplicateValues" dxfId="43" priority="39"/>
    <cfRule type="duplicateValues" dxfId="42" priority="40"/>
    <cfRule type="duplicateValues" dxfId="41" priority="41"/>
    <cfRule type="duplicateValues" dxfId="40" priority="42"/>
    <cfRule type="duplicateValues" dxfId="39" priority="43"/>
    <cfRule type="duplicateValues" dxfId="38" priority="44"/>
    <cfRule type="duplicateValues" dxfId="37" priority="45"/>
    <cfRule type="duplicateValues" dxfId="36" priority="46"/>
    <cfRule type="duplicateValues" dxfId="35" priority="47"/>
    <cfRule type="duplicateValues" dxfId="34" priority="48"/>
    <cfRule type="duplicateValues" dxfId="33" priority="49"/>
    <cfRule type="duplicateValues" dxfId="32" priority="50"/>
    <cfRule type="duplicateValues" dxfId="31" priority="51"/>
  </conditionalFormatting>
  <conditionalFormatting sqref="B2:B199">
    <cfRule type="duplicateValues" dxfId="30" priority="28"/>
    <cfRule type="duplicateValues" dxfId="29" priority="29"/>
    <cfRule type="duplicateValues" dxfId="28" priority="30"/>
    <cfRule type="duplicateValues" dxfId="27" priority="31"/>
  </conditionalFormatting>
  <conditionalFormatting sqref="B191:B192 B194:B196">
    <cfRule type="duplicateValues" dxfId="26" priority="13"/>
    <cfRule type="duplicateValues" dxfId="25" priority="14"/>
    <cfRule type="duplicateValues" dxfId="24" priority="15"/>
    <cfRule type="duplicateValues" dxfId="23" priority="16"/>
    <cfRule type="duplicateValues" dxfId="22" priority="17"/>
    <cfRule type="duplicateValues" dxfId="21" priority="18"/>
    <cfRule type="duplicateValues" dxfId="20" priority="19"/>
    <cfRule type="duplicateValues" dxfId="19" priority="20"/>
    <cfRule type="duplicateValues" dxfId="18" priority="21"/>
    <cfRule type="duplicateValues" dxfId="17" priority="22"/>
    <cfRule type="duplicateValues" dxfId="16" priority="23"/>
    <cfRule type="duplicateValues" dxfId="15" priority="24"/>
    <cfRule type="duplicateValues" dxfId="14" priority="25"/>
    <cfRule type="duplicateValues" dxfId="13" priority="26"/>
    <cfRule type="duplicateValues" dxfId="12" priority="27"/>
  </conditionalFormatting>
  <conditionalFormatting sqref="B194:B196 B2:B192">
    <cfRule type="duplicateValues" dxfId="11" priority="8"/>
    <cfRule type="duplicateValues" dxfId="10" priority="9"/>
    <cfRule type="duplicateValues" dxfId="9" priority="10"/>
    <cfRule type="duplicateValues" dxfId="8" priority="11"/>
    <cfRule type="duplicateValues" dxfId="7" priority="12"/>
  </conditionalFormatting>
  <conditionalFormatting sqref="B197:B199">
    <cfRule type="duplicateValues" dxfId="6" priority="2"/>
    <cfRule type="duplicateValues" dxfId="5" priority="3"/>
    <cfRule type="duplicateValues" dxfId="4" priority="4"/>
    <cfRule type="duplicateValues" dxfId="3" priority="5"/>
    <cfRule type="duplicateValues" dxfId="2" priority="6"/>
    <cfRule type="duplicateValues" dxfId="1" priority="7"/>
  </conditionalFormatting>
  <conditionalFormatting sqref="B2:B196">
    <cfRule type="duplicateValues" dxfId="0" priority="1"/>
  </conditionalFormatting>
  <pageMargins left="0.7" right="0.7" top="0.75" bottom="0.75" header="0.3" footer="0.3"/>
  <pageSetup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T137"/>
  <sheetViews>
    <sheetView workbookViewId="0">
      <selection activeCell="N10" sqref="N10"/>
    </sheetView>
  </sheetViews>
  <sheetFormatPr baseColWidth="10" defaultRowHeight="14.5" x14ac:dyDescent="0.35"/>
  <cols>
    <col min="1" max="1" width="11.453125" style="14"/>
    <col min="2" max="3" width="12.54296875" style="2" customWidth="1"/>
    <col min="4" max="4" width="4.7265625" style="16" bestFit="1" customWidth="1"/>
    <col min="5" max="5" width="4.54296875" bestFit="1" customWidth="1"/>
    <col min="6" max="8" width="11.453125" hidden="1" customWidth="1"/>
    <col min="10" max="10" width="10" style="14" customWidth="1"/>
    <col min="12" max="12" width="4.453125" customWidth="1"/>
  </cols>
  <sheetData>
    <row r="1" spans="1:20" x14ac:dyDescent="0.35">
      <c r="B1" s="4" t="s">
        <v>19</v>
      </c>
      <c r="C1" s="4" t="s">
        <v>20</v>
      </c>
      <c r="H1" s="2"/>
      <c r="I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35">
      <c r="B2" s="1">
        <v>45576</v>
      </c>
      <c r="C2" s="1" t="s">
        <v>64</v>
      </c>
      <c r="I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35">
      <c r="B3" s="2" t="s">
        <v>47</v>
      </c>
      <c r="C3" s="2" t="s">
        <v>49</v>
      </c>
      <c r="D3" s="16" t="s">
        <v>48</v>
      </c>
      <c r="E3" t="s">
        <v>50</v>
      </c>
      <c r="G3" s="13"/>
    </row>
    <row r="4" spans="1:20" x14ac:dyDescent="0.35">
      <c r="A4" s="14">
        <v>1300000</v>
      </c>
      <c r="B4" s="2">
        <f>B2</f>
        <v>45576</v>
      </c>
      <c r="C4" s="2">
        <f>IF(DATE(YEAR(B4),MONTH(B4)+1,0)&gt;$C$2,$C$2,DATE(YEAR(B4),MONTH(B4)+1,0))</f>
        <v>45596</v>
      </c>
      <c r="D4" s="16">
        <f>MONTH(B2)</f>
        <v>10</v>
      </c>
      <c r="E4" s="15">
        <f>C4-B4+1</f>
        <v>21</v>
      </c>
      <c r="F4" s="2"/>
      <c r="G4" s="2"/>
      <c r="I4" t="s">
        <v>51</v>
      </c>
      <c r="K4" t="s">
        <v>54</v>
      </c>
      <c r="M4" s="2">
        <f>DATE(YEAR(B4),MONTH(B4)+1,0)</f>
        <v>45596</v>
      </c>
    </row>
    <row r="5" spans="1:20" x14ac:dyDescent="0.35">
      <c r="A5" s="14">
        <v>1300000</v>
      </c>
      <c r="B5" s="2">
        <f>IF(C4+1&gt;$C$2,"",C4+1)</f>
        <v>45597</v>
      </c>
      <c r="C5" s="2">
        <f t="shared" ref="C5:C68" si="0">IF(DATE(YEAR(B5),MONTH(B5)+1,0)&gt;$C$2,$C$2,DATE(YEAR(B5),MONTH(B5)+1,0))</f>
        <v>45626</v>
      </c>
      <c r="D5" s="16">
        <f>IF(B5&lt;=$C$2,IF(D4=12,1,D4+1),"FIN")</f>
        <v>11</v>
      </c>
      <c r="E5" s="15">
        <f t="shared" ref="E5:E68" si="1">C5-B5+1</f>
        <v>30</v>
      </c>
      <c r="F5" s="2"/>
      <c r="G5" s="2"/>
      <c r="I5" t="s">
        <v>52</v>
      </c>
      <c r="K5" t="s">
        <v>55</v>
      </c>
    </row>
    <row r="6" spans="1:20" x14ac:dyDescent="0.35">
      <c r="B6" s="2">
        <f t="shared" ref="B6:B8" si="2">C5+1</f>
        <v>45627</v>
      </c>
      <c r="C6" s="2">
        <f t="shared" si="0"/>
        <v>45657</v>
      </c>
      <c r="D6" s="16">
        <f t="shared" ref="D6:D69" si="3">IF(B6&lt;=$C$2,IF(D5=12,1,D5+1),"FIN")</f>
        <v>12</v>
      </c>
      <c r="E6" s="15">
        <f t="shared" si="1"/>
        <v>31</v>
      </c>
      <c r="F6" s="2"/>
      <c r="G6" s="2"/>
      <c r="I6" t="s">
        <v>53</v>
      </c>
      <c r="K6" t="s">
        <v>56</v>
      </c>
    </row>
    <row r="7" spans="1:20" x14ac:dyDescent="0.35">
      <c r="B7" s="2">
        <f t="shared" si="2"/>
        <v>45658</v>
      </c>
      <c r="C7" s="2">
        <f t="shared" si="0"/>
        <v>45688</v>
      </c>
      <c r="D7" s="16">
        <f t="shared" si="3"/>
        <v>1</v>
      </c>
      <c r="E7" s="15">
        <f t="shared" si="1"/>
        <v>31</v>
      </c>
      <c r="F7" s="2"/>
      <c r="G7" s="2"/>
    </row>
    <row r="8" spans="1:20" x14ac:dyDescent="0.35">
      <c r="B8" s="2">
        <f t="shared" si="2"/>
        <v>45689</v>
      </c>
      <c r="C8" s="2">
        <f t="shared" si="0"/>
        <v>45716</v>
      </c>
      <c r="D8" s="16">
        <f t="shared" si="3"/>
        <v>2</v>
      </c>
      <c r="E8" s="15">
        <f t="shared" si="1"/>
        <v>28</v>
      </c>
      <c r="F8" s="2"/>
      <c r="G8" s="2"/>
      <c r="I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35">
      <c r="B9" s="2">
        <f t="shared" ref="B9:B72" si="4">C8+1</f>
        <v>45717</v>
      </c>
      <c r="C9" s="2">
        <f t="shared" si="0"/>
        <v>45747</v>
      </c>
      <c r="D9" s="16">
        <f t="shared" si="3"/>
        <v>3</v>
      </c>
      <c r="E9" s="15">
        <f t="shared" si="1"/>
        <v>31</v>
      </c>
      <c r="F9" s="2"/>
      <c r="G9" s="2"/>
    </row>
    <row r="10" spans="1:20" x14ac:dyDescent="0.35">
      <c r="B10" s="2">
        <f t="shared" si="4"/>
        <v>45748</v>
      </c>
      <c r="C10" s="2">
        <f t="shared" si="0"/>
        <v>45777</v>
      </c>
      <c r="D10" s="16">
        <f t="shared" si="3"/>
        <v>4</v>
      </c>
      <c r="E10" s="15">
        <f t="shared" si="1"/>
        <v>30</v>
      </c>
      <c r="F10" s="2"/>
      <c r="G10" s="2"/>
    </row>
    <row r="11" spans="1:20" x14ac:dyDescent="0.35">
      <c r="B11" s="2">
        <f t="shared" si="4"/>
        <v>45778</v>
      </c>
      <c r="C11" s="2">
        <f t="shared" si="0"/>
        <v>45808</v>
      </c>
      <c r="D11" s="16">
        <f t="shared" si="3"/>
        <v>5</v>
      </c>
      <c r="E11" s="15">
        <f t="shared" si="1"/>
        <v>31</v>
      </c>
      <c r="F11" s="2"/>
      <c r="G11" s="2"/>
    </row>
    <row r="12" spans="1:20" x14ac:dyDescent="0.35">
      <c r="B12" s="2">
        <f t="shared" si="4"/>
        <v>45809</v>
      </c>
      <c r="C12" s="2">
        <f t="shared" si="0"/>
        <v>45838</v>
      </c>
      <c r="D12" s="16">
        <f t="shared" si="3"/>
        <v>6</v>
      </c>
      <c r="E12" s="15">
        <f t="shared" si="1"/>
        <v>30</v>
      </c>
      <c r="F12" s="2"/>
      <c r="G12" s="2"/>
    </row>
    <row r="13" spans="1:20" x14ac:dyDescent="0.35">
      <c r="B13" s="2">
        <f t="shared" si="4"/>
        <v>45839</v>
      </c>
      <c r="C13" s="2">
        <f t="shared" si="0"/>
        <v>45869</v>
      </c>
      <c r="D13" s="16">
        <f t="shared" si="3"/>
        <v>7</v>
      </c>
      <c r="E13" s="15">
        <f t="shared" si="1"/>
        <v>31</v>
      </c>
      <c r="F13" s="2"/>
      <c r="G13" s="2"/>
    </row>
    <row r="14" spans="1:20" x14ac:dyDescent="0.35">
      <c r="B14" s="2">
        <f t="shared" si="4"/>
        <v>45870</v>
      </c>
      <c r="C14" s="2">
        <f t="shared" si="0"/>
        <v>45900</v>
      </c>
      <c r="D14" s="16">
        <f t="shared" si="3"/>
        <v>8</v>
      </c>
      <c r="E14" s="15">
        <f t="shared" si="1"/>
        <v>31</v>
      </c>
      <c r="F14" s="2"/>
      <c r="G14" s="2"/>
    </row>
    <row r="15" spans="1:20" x14ac:dyDescent="0.35">
      <c r="B15" s="2">
        <f t="shared" si="4"/>
        <v>45901</v>
      </c>
      <c r="C15" s="2">
        <f t="shared" si="0"/>
        <v>45930</v>
      </c>
      <c r="D15" s="16">
        <f t="shared" si="3"/>
        <v>9</v>
      </c>
      <c r="E15" s="15">
        <f t="shared" si="1"/>
        <v>30</v>
      </c>
      <c r="F15" s="2"/>
      <c r="G15" s="2"/>
    </row>
    <row r="16" spans="1:20" x14ac:dyDescent="0.35">
      <c r="B16" s="2">
        <f t="shared" si="4"/>
        <v>45931</v>
      </c>
      <c r="C16" s="2">
        <f t="shared" si="0"/>
        <v>45961</v>
      </c>
      <c r="D16" s="16">
        <f t="shared" si="3"/>
        <v>10</v>
      </c>
      <c r="E16" s="15">
        <f t="shared" si="1"/>
        <v>31</v>
      </c>
      <c r="F16" s="2"/>
      <c r="G16" s="2"/>
    </row>
    <row r="17" spans="2:6" x14ac:dyDescent="0.35">
      <c r="B17" s="2">
        <f t="shared" si="4"/>
        <v>45962</v>
      </c>
      <c r="C17" s="2">
        <f t="shared" si="0"/>
        <v>45991</v>
      </c>
      <c r="D17" s="16">
        <f t="shared" si="3"/>
        <v>11</v>
      </c>
      <c r="E17" s="15">
        <f t="shared" si="1"/>
        <v>30</v>
      </c>
      <c r="F17" s="2"/>
    </row>
    <row r="18" spans="2:6" x14ac:dyDescent="0.35">
      <c r="B18" s="2">
        <f t="shared" si="4"/>
        <v>45992</v>
      </c>
      <c r="C18" s="2">
        <f t="shared" si="0"/>
        <v>46022</v>
      </c>
      <c r="D18" s="16">
        <f t="shared" si="3"/>
        <v>12</v>
      </c>
      <c r="E18" s="15">
        <f t="shared" si="1"/>
        <v>31</v>
      </c>
      <c r="F18" s="2"/>
    </row>
    <row r="19" spans="2:6" x14ac:dyDescent="0.35">
      <c r="B19" s="2">
        <f t="shared" si="4"/>
        <v>46023</v>
      </c>
      <c r="C19" s="2">
        <f t="shared" si="0"/>
        <v>46053</v>
      </c>
      <c r="D19" s="16">
        <f t="shared" si="3"/>
        <v>1</v>
      </c>
      <c r="E19" s="15">
        <f t="shared" si="1"/>
        <v>31</v>
      </c>
      <c r="F19" s="2"/>
    </row>
    <row r="20" spans="2:6" x14ac:dyDescent="0.35">
      <c r="B20" s="2">
        <f t="shared" si="4"/>
        <v>46054</v>
      </c>
      <c r="C20" s="2">
        <f t="shared" si="0"/>
        <v>46081</v>
      </c>
      <c r="D20" s="16">
        <f t="shared" si="3"/>
        <v>2</v>
      </c>
      <c r="E20" s="15">
        <f t="shared" si="1"/>
        <v>28</v>
      </c>
      <c r="F20" s="2"/>
    </row>
    <row r="21" spans="2:6" x14ac:dyDescent="0.35">
      <c r="B21" s="2">
        <f t="shared" si="4"/>
        <v>46082</v>
      </c>
      <c r="C21" s="2">
        <f t="shared" si="0"/>
        <v>46112</v>
      </c>
      <c r="D21" s="16">
        <f t="shared" si="3"/>
        <v>3</v>
      </c>
      <c r="E21" s="15">
        <f t="shared" si="1"/>
        <v>31</v>
      </c>
      <c r="F21" s="2"/>
    </row>
    <row r="22" spans="2:6" x14ac:dyDescent="0.35">
      <c r="B22" s="2">
        <f t="shared" si="4"/>
        <v>46113</v>
      </c>
      <c r="C22" s="2">
        <f t="shared" si="0"/>
        <v>46142</v>
      </c>
      <c r="D22" s="16">
        <f t="shared" si="3"/>
        <v>4</v>
      </c>
      <c r="E22" s="15">
        <f t="shared" si="1"/>
        <v>30</v>
      </c>
      <c r="F22" s="2"/>
    </row>
    <row r="23" spans="2:6" x14ac:dyDescent="0.35">
      <c r="B23" s="2">
        <f t="shared" si="4"/>
        <v>46143</v>
      </c>
      <c r="C23" s="2">
        <f t="shared" si="0"/>
        <v>46173</v>
      </c>
      <c r="D23" s="16">
        <f t="shared" si="3"/>
        <v>5</v>
      </c>
      <c r="E23" s="15">
        <f t="shared" si="1"/>
        <v>31</v>
      </c>
      <c r="F23" s="2"/>
    </row>
    <row r="24" spans="2:6" x14ac:dyDescent="0.35">
      <c r="B24" s="2">
        <f t="shared" si="4"/>
        <v>46174</v>
      </c>
      <c r="C24" s="2">
        <f t="shared" si="0"/>
        <v>46203</v>
      </c>
      <c r="D24" s="16">
        <f t="shared" si="3"/>
        <v>6</v>
      </c>
      <c r="E24" s="15">
        <f t="shared" si="1"/>
        <v>30</v>
      </c>
      <c r="F24" s="2"/>
    </row>
    <row r="25" spans="2:6" x14ac:dyDescent="0.35">
      <c r="B25" s="2">
        <f t="shared" si="4"/>
        <v>46204</v>
      </c>
      <c r="C25" s="2">
        <f t="shared" si="0"/>
        <v>46234</v>
      </c>
      <c r="D25" s="16">
        <f t="shared" si="3"/>
        <v>7</v>
      </c>
      <c r="E25" s="15">
        <f t="shared" si="1"/>
        <v>31</v>
      </c>
      <c r="F25" s="2"/>
    </row>
    <row r="26" spans="2:6" x14ac:dyDescent="0.35">
      <c r="B26" s="2">
        <f t="shared" si="4"/>
        <v>46235</v>
      </c>
      <c r="C26" s="2">
        <f t="shared" si="0"/>
        <v>46265</v>
      </c>
      <c r="D26" s="16">
        <f t="shared" si="3"/>
        <v>8</v>
      </c>
      <c r="E26" s="15">
        <f t="shared" si="1"/>
        <v>31</v>
      </c>
      <c r="F26" s="2"/>
    </row>
    <row r="27" spans="2:6" x14ac:dyDescent="0.35">
      <c r="B27" s="2">
        <f t="shared" si="4"/>
        <v>46266</v>
      </c>
      <c r="C27" s="2">
        <f t="shared" si="0"/>
        <v>46295</v>
      </c>
      <c r="D27" s="16">
        <f t="shared" si="3"/>
        <v>9</v>
      </c>
      <c r="E27" s="15">
        <f t="shared" si="1"/>
        <v>30</v>
      </c>
      <c r="F27" s="2"/>
    </row>
    <row r="28" spans="2:6" x14ac:dyDescent="0.35">
      <c r="B28" s="2">
        <f t="shared" si="4"/>
        <v>46296</v>
      </c>
      <c r="C28" s="2">
        <f t="shared" si="0"/>
        <v>46326</v>
      </c>
      <c r="D28" s="16">
        <f t="shared" si="3"/>
        <v>10</v>
      </c>
      <c r="E28" s="15">
        <f t="shared" si="1"/>
        <v>31</v>
      </c>
      <c r="F28" s="2"/>
    </row>
    <row r="29" spans="2:6" x14ac:dyDescent="0.35">
      <c r="B29" s="2">
        <f t="shared" si="4"/>
        <v>46327</v>
      </c>
      <c r="C29" s="2">
        <f t="shared" si="0"/>
        <v>46356</v>
      </c>
      <c r="D29" s="16">
        <f t="shared" si="3"/>
        <v>11</v>
      </c>
      <c r="E29" s="15">
        <f t="shared" si="1"/>
        <v>30</v>
      </c>
      <c r="F29" s="2"/>
    </row>
    <row r="30" spans="2:6" x14ac:dyDescent="0.35">
      <c r="B30" s="2">
        <f t="shared" si="4"/>
        <v>46357</v>
      </c>
      <c r="C30" s="2">
        <f t="shared" si="0"/>
        <v>46387</v>
      </c>
      <c r="D30" s="16">
        <f t="shared" si="3"/>
        <v>12</v>
      </c>
      <c r="E30" s="15">
        <f t="shared" si="1"/>
        <v>31</v>
      </c>
      <c r="F30" s="2"/>
    </row>
    <row r="31" spans="2:6" x14ac:dyDescent="0.35">
      <c r="B31" s="2">
        <f t="shared" si="4"/>
        <v>46388</v>
      </c>
      <c r="C31" s="2">
        <f t="shared" si="0"/>
        <v>46418</v>
      </c>
      <c r="D31" s="16">
        <f t="shared" si="3"/>
        <v>1</v>
      </c>
      <c r="E31" s="15">
        <f t="shared" si="1"/>
        <v>31</v>
      </c>
      <c r="F31" s="2"/>
    </row>
    <row r="32" spans="2:6" x14ac:dyDescent="0.35">
      <c r="B32" s="2">
        <f t="shared" si="4"/>
        <v>46419</v>
      </c>
      <c r="C32" s="2">
        <f t="shared" si="0"/>
        <v>46446</v>
      </c>
      <c r="D32" s="16">
        <f t="shared" si="3"/>
        <v>2</v>
      </c>
      <c r="E32" s="15">
        <f t="shared" si="1"/>
        <v>28</v>
      </c>
      <c r="F32" s="2"/>
    </row>
    <row r="33" spans="2:6" x14ac:dyDescent="0.35">
      <c r="B33" s="2">
        <f t="shared" si="4"/>
        <v>46447</v>
      </c>
      <c r="C33" s="2">
        <f t="shared" si="0"/>
        <v>46477</v>
      </c>
      <c r="D33" s="16">
        <f t="shared" si="3"/>
        <v>3</v>
      </c>
      <c r="E33" s="15">
        <f t="shared" si="1"/>
        <v>31</v>
      </c>
      <c r="F33" s="2"/>
    </row>
    <row r="34" spans="2:6" x14ac:dyDescent="0.35">
      <c r="B34" s="2">
        <f t="shared" si="4"/>
        <v>46478</v>
      </c>
      <c r="C34" s="2">
        <f t="shared" si="0"/>
        <v>46507</v>
      </c>
      <c r="D34" s="16">
        <f t="shared" si="3"/>
        <v>4</v>
      </c>
      <c r="E34" s="15">
        <f t="shared" si="1"/>
        <v>30</v>
      </c>
      <c r="F34" s="2"/>
    </row>
    <row r="35" spans="2:6" x14ac:dyDescent="0.35">
      <c r="B35" s="2">
        <f t="shared" si="4"/>
        <v>46508</v>
      </c>
      <c r="C35" s="2">
        <f t="shared" si="0"/>
        <v>46538</v>
      </c>
      <c r="D35" s="16">
        <f t="shared" si="3"/>
        <v>5</v>
      </c>
      <c r="E35" s="15">
        <f t="shared" si="1"/>
        <v>31</v>
      </c>
      <c r="F35" s="2"/>
    </row>
    <row r="36" spans="2:6" x14ac:dyDescent="0.35">
      <c r="B36" s="2">
        <f t="shared" si="4"/>
        <v>46539</v>
      </c>
      <c r="C36" s="2">
        <f t="shared" si="0"/>
        <v>46568</v>
      </c>
      <c r="D36" s="16">
        <f t="shared" si="3"/>
        <v>6</v>
      </c>
      <c r="E36" s="15">
        <f t="shared" si="1"/>
        <v>30</v>
      </c>
      <c r="F36" s="2"/>
    </row>
    <row r="37" spans="2:6" x14ac:dyDescent="0.35">
      <c r="B37" s="2">
        <f t="shared" si="4"/>
        <v>46569</v>
      </c>
      <c r="C37" s="2">
        <f t="shared" si="0"/>
        <v>46599</v>
      </c>
      <c r="D37" s="16">
        <f t="shared" si="3"/>
        <v>7</v>
      </c>
      <c r="E37" s="15">
        <f t="shared" si="1"/>
        <v>31</v>
      </c>
      <c r="F37" s="2"/>
    </row>
    <row r="38" spans="2:6" x14ac:dyDescent="0.35">
      <c r="B38" s="2">
        <f t="shared" si="4"/>
        <v>46600</v>
      </c>
      <c r="C38" s="2">
        <f t="shared" si="0"/>
        <v>46630</v>
      </c>
      <c r="D38" s="16">
        <f t="shared" si="3"/>
        <v>8</v>
      </c>
      <c r="E38" s="15">
        <f t="shared" si="1"/>
        <v>31</v>
      </c>
      <c r="F38" s="2"/>
    </row>
    <row r="39" spans="2:6" x14ac:dyDescent="0.35">
      <c r="B39" s="2">
        <f t="shared" si="4"/>
        <v>46631</v>
      </c>
      <c r="C39" s="2">
        <f t="shared" si="0"/>
        <v>46660</v>
      </c>
      <c r="D39" s="16">
        <f t="shared" si="3"/>
        <v>9</v>
      </c>
      <c r="E39" s="15">
        <f t="shared" si="1"/>
        <v>30</v>
      </c>
      <c r="F39" s="2"/>
    </row>
    <row r="40" spans="2:6" x14ac:dyDescent="0.35">
      <c r="B40" s="2">
        <f t="shared" si="4"/>
        <v>46661</v>
      </c>
      <c r="C40" s="2">
        <f t="shared" si="0"/>
        <v>46691</v>
      </c>
      <c r="D40" s="16">
        <f t="shared" si="3"/>
        <v>10</v>
      </c>
      <c r="E40" s="15">
        <f t="shared" si="1"/>
        <v>31</v>
      </c>
      <c r="F40" s="2"/>
    </row>
    <row r="41" spans="2:6" x14ac:dyDescent="0.35">
      <c r="B41" s="2">
        <f t="shared" si="4"/>
        <v>46692</v>
      </c>
      <c r="C41" s="2">
        <f t="shared" si="0"/>
        <v>46721</v>
      </c>
      <c r="D41" s="16">
        <f t="shared" si="3"/>
        <v>11</v>
      </c>
      <c r="E41" s="15">
        <f t="shared" si="1"/>
        <v>30</v>
      </c>
      <c r="F41" s="2"/>
    </row>
    <row r="42" spans="2:6" x14ac:dyDescent="0.35">
      <c r="B42" s="2">
        <f t="shared" si="4"/>
        <v>46722</v>
      </c>
      <c r="C42" s="2">
        <f t="shared" si="0"/>
        <v>46752</v>
      </c>
      <c r="D42" s="16">
        <f t="shared" si="3"/>
        <v>12</v>
      </c>
      <c r="E42" s="15">
        <f t="shared" si="1"/>
        <v>31</v>
      </c>
      <c r="F42" s="2"/>
    </row>
    <row r="43" spans="2:6" x14ac:dyDescent="0.35">
      <c r="B43" s="2">
        <f t="shared" si="4"/>
        <v>46753</v>
      </c>
      <c r="C43" s="2">
        <f t="shared" si="0"/>
        <v>46783</v>
      </c>
      <c r="D43" s="16">
        <f t="shared" si="3"/>
        <v>1</v>
      </c>
      <c r="E43" s="15">
        <f t="shared" si="1"/>
        <v>31</v>
      </c>
      <c r="F43" s="2"/>
    </row>
    <row r="44" spans="2:6" x14ac:dyDescent="0.35">
      <c r="B44" s="2">
        <f t="shared" si="4"/>
        <v>46784</v>
      </c>
      <c r="C44" s="2">
        <f t="shared" si="0"/>
        <v>46812</v>
      </c>
      <c r="D44" s="16">
        <f t="shared" si="3"/>
        <v>2</v>
      </c>
      <c r="E44" s="15">
        <f t="shared" si="1"/>
        <v>29</v>
      </c>
      <c r="F44" s="2"/>
    </row>
    <row r="45" spans="2:6" x14ac:dyDescent="0.35">
      <c r="B45" s="2">
        <f t="shared" si="4"/>
        <v>46813</v>
      </c>
      <c r="C45" s="2">
        <f t="shared" si="0"/>
        <v>46843</v>
      </c>
      <c r="D45" s="16">
        <f t="shared" si="3"/>
        <v>3</v>
      </c>
      <c r="E45" s="15">
        <f t="shared" si="1"/>
        <v>31</v>
      </c>
      <c r="F45" s="2"/>
    </row>
    <row r="46" spans="2:6" x14ac:dyDescent="0.35">
      <c r="B46" s="2">
        <f t="shared" si="4"/>
        <v>46844</v>
      </c>
      <c r="C46" s="2">
        <f t="shared" si="0"/>
        <v>46873</v>
      </c>
      <c r="D46" s="16">
        <f t="shared" si="3"/>
        <v>4</v>
      </c>
      <c r="E46" s="15">
        <f t="shared" si="1"/>
        <v>30</v>
      </c>
      <c r="F46" s="2"/>
    </row>
    <row r="47" spans="2:6" x14ac:dyDescent="0.35">
      <c r="B47" s="2">
        <f t="shared" si="4"/>
        <v>46874</v>
      </c>
      <c r="C47" s="2">
        <f t="shared" si="0"/>
        <v>46904</v>
      </c>
      <c r="D47" s="16">
        <f t="shared" si="3"/>
        <v>5</v>
      </c>
      <c r="E47" s="15">
        <f t="shared" si="1"/>
        <v>31</v>
      </c>
      <c r="F47" s="2"/>
    </row>
    <row r="48" spans="2:6" x14ac:dyDescent="0.35">
      <c r="B48" s="2">
        <f t="shared" si="4"/>
        <v>46905</v>
      </c>
      <c r="C48" s="2">
        <f t="shared" si="0"/>
        <v>46934</v>
      </c>
      <c r="D48" s="16">
        <f t="shared" si="3"/>
        <v>6</v>
      </c>
      <c r="E48" s="15">
        <f t="shared" si="1"/>
        <v>30</v>
      </c>
      <c r="F48" s="2"/>
    </row>
    <row r="49" spans="2:6" x14ac:dyDescent="0.35">
      <c r="B49" s="2">
        <f t="shared" si="4"/>
        <v>46935</v>
      </c>
      <c r="C49" s="2">
        <f t="shared" si="0"/>
        <v>46965</v>
      </c>
      <c r="D49" s="16">
        <f t="shared" si="3"/>
        <v>7</v>
      </c>
      <c r="E49" s="15">
        <f t="shared" si="1"/>
        <v>31</v>
      </c>
      <c r="F49" s="2"/>
    </row>
    <row r="50" spans="2:6" x14ac:dyDescent="0.35">
      <c r="B50" s="2">
        <f t="shared" si="4"/>
        <v>46966</v>
      </c>
      <c r="C50" s="2">
        <f t="shared" si="0"/>
        <v>46996</v>
      </c>
      <c r="D50" s="16">
        <f t="shared" si="3"/>
        <v>8</v>
      </c>
      <c r="E50" s="15">
        <f t="shared" si="1"/>
        <v>31</v>
      </c>
      <c r="F50" s="2"/>
    </row>
    <row r="51" spans="2:6" x14ac:dyDescent="0.35">
      <c r="B51" s="2">
        <f t="shared" si="4"/>
        <v>46997</v>
      </c>
      <c r="C51" s="2">
        <f t="shared" si="0"/>
        <v>47026</v>
      </c>
      <c r="D51" s="16">
        <f t="shared" si="3"/>
        <v>9</v>
      </c>
      <c r="E51" s="15">
        <f t="shared" si="1"/>
        <v>30</v>
      </c>
      <c r="F51" s="2"/>
    </row>
    <row r="52" spans="2:6" x14ac:dyDescent="0.35">
      <c r="B52" s="2">
        <f t="shared" si="4"/>
        <v>47027</v>
      </c>
      <c r="C52" s="2">
        <f t="shared" si="0"/>
        <v>47057</v>
      </c>
      <c r="D52" s="16">
        <f t="shared" si="3"/>
        <v>10</v>
      </c>
      <c r="E52" s="15">
        <f t="shared" si="1"/>
        <v>31</v>
      </c>
      <c r="F52" s="2"/>
    </row>
    <row r="53" spans="2:6" x14ac:dyDescent="0.35">
      <c r="B53" s="2">
        <f t="shared" si="4"/>
        <v>47058</v>
      </c>
      <c r="C53" s="2">
        <f t="shared" si="0"/>
        <v>47087</v>
      </c>
      <c r="D53" s="16">
        <f t="shared" si="3"/>
        <v>11</v>
      </c>
      <c r="E53" s="15">
        <f t="shared" si="1"/>
        <v>30</v>
      </c>
      <c r="F53" s="2"/>
    </row>
    <row r="54" spans="2:6" x14ac:dyDescent="0.35">
      <c r="B54" s="2">
        <f t="shared" si="4"/>
        <v>47088</v>
      </c>
      <c r="C54" s="2">
        <f t="shared" si="0"/>
        <v>47118</v>
      </c>
      <c r="D54" s="16">
        <f t="shared" si="3"/>
        <v>12</v>
      </c>
      <c r="E54" s="15">
        <f t="shared" si="1"/>
        <v>31</v>
      </c>
      <c r="F54" s="2"/>
    </row>
    <row r="55" spans="2:6" x14ac:dyDescent="0.35">
      <c r="B55" s="2">
        <f t="shared" si="4"/>
        <v>47119</v>
      </c>
      <c r="C55" s="2">
        <f t="shared" si="0"/>
        <v>47149</v>
      </c>
      <c r="D55" s="16">
        <f t="shared" si="3"/>
        <v>1</v>
      </c>
      <c r="E55" s="15">
        <f t="shared" si="1"/>
        <v>31</v>
      </c>
      <c r="F55" s="2"/>
    </row>
    <row r="56" spans="2:6" x14ac:dyDescent="0.35">
      <c r="B56" s="2">
        <f t="shared" si="4"/>
        <v>47150</v>
      </c>
      <c r="C56" s="2">
        <f t="shared" si="0"/>
        <v>47177</v>
      </c>
      <c r="D56" s="16">
        <f t="shared" si="3"/>
        <v>2</v>
      </c>
      <c r="E56" s="15">
        <f t="shared" si="1"/>
        <v>28</v>
      </c>
      <c r="F56" s="2"/>
    </row>
    <row r="57" spans="2:6" x14ac:dyDescent="0.35">
      <c r="B57" s="2">
        <f t="shared" si="4"/>
        <v>47178</v>
      </c>
      <c r="C57" s="2">
        <f t="shared" si="0"/>
        <v>47208</v>
      </c>
      <c r="D57" s="16">
        <f t="shared" si="3"/>
        <v>3</v>
      </c>
      <c r="E57" s="15">
        <f t="shared" si="1"/>
        <v>31</v>
      </c>
      <c r="F57" s="2"/>
    </row>
    <row r="58" spans="2:6" x14ac:dyDescent="0.35">
      <c r="B58" s="2">
        <f t="shared" si="4"/>
        <v>47209</v>
      </c>
      <c r="C58" s="2">
        <f t="shared" si="0"/>
        <v>47238</v>
      </c>
      <c r="D58" s="16">
        <f t="shared" si="3"/>
        <v>4</v>
      </c>
      <c r="E58" s="15">
        <f t="shared" si="1"/>
        <v>30</v>
      </c>
      <c r="F58" s="2"/>
    </row>
    <row r="59" spans="2:6" x14ac:dyDescent="0.35">
      <c r="B59" s="2">
        <f t="shared" si="4"/>
        <v>47239</v>
      </c>
      <c r="C59" s="2">
        <f t="shared" si="0"/>
        <v>47269</v>
      </c>
      <c r="D59" s="16">
        <f t="shared" si="3"/>
        <v>5</v>
      </c>
      <c r="E59" s="15">
        <f t="shared" si="1"/>
        <v>31</v>
      </c>
      <c r="F59" s="2"/>
    </row>
    <row r="60" spans="2:6" x14ac:dyDescent="0.35">
      <c r="B60" s="2">
        <f t="shared" si="4"/>
        <v>47270</v>
      </c>
      <c r="C60" s="2">
        <f t="shared" si="0"/>
        <v>47299</v>
      </c>
      <c r="D60" s="16">
        <f t="shared" si="3"/>
        <v>6</v>
      </c>
      <c r="E60" s="15">
        <f t="shared" si="1"/>
        <v>30</v>
      </c>
      <c r="F60" s="2"/>
    </row>
    <row r="61" spans="2:6" x14ac:dyDescent="0.35">
      <c r="B61" s="2">
        <f t="shared" si="4"/>
        <v>47300</v>
      </c>
      <c r="C61" s="2">
        <f t="shared" si="0"/>
        <v>47330</v>
      </c>
      <c r="D61" s="16">
        <f t="shared" si="3"/>
        <v>7</v>
      </c>
      <c r="E61" s="15">
        <f t="shared" si="1"/>
        <v>31</v>
      </c>
      <c r="F61" s="2"/>
    </row>
    <row r="62" spans="2:6" x14ac:dyDescent="0.35">
      <c r="B62" s="2">
        <f t="shared" si="4"/>
        <v>47331</v>
      </c>
      <c r="C62" s="2">
        <f t="shared" si="0"/>
        <v>47361</v>
      </c>
      <c r="D62" s="16">
        <f t="shared" si="3"/>
        <v>8</v>
      </c>
      <c r="E62" s="15">
        <f t="shared" si="1"/>
        <v>31</v>
      </c>
      <c r="F62" s="2"/>
    </row>
    <row r="63" spans="2:6" x14ac:dyDescent="0.35">
      <c r="B63" s="2">
        <f t="shared" si="4"/>
        <v>47362</v>
      </c>
      <c r="C63" s="2">
        <f t="shared" si="0"/>
        <v>47391</v>
      </c>
      <c r="D63" s="16">
        <f t="shared" si="3"/>
        <v>9</v>
      </c>
      <c r="E63" s="15">
        <f t="shared" si="1"/>
        <v>30</v>
      </c>
      <c r="F63" s="2"/>
    </row>
    <row r="64" spans="2:6" x14ac:dyDescent="0.35">
      <c r="B64" s="2">
        <f t="shared" si="4"/>
        <v>47392</v>
      </c>
      <c r="C64" s="2">
        <f t="shared" si="0"/>
        <v>47422</v>
      </c>
      <c r="D64" s="16">
        <f t="shared" si="3"/>
        <v>10</v>
      </c>
      <c r="E64" s="15">
        <f t="shared" si="1"/>
        <v>31</v>
      </c>
      <c r="F64" s="2"/>
    </row>
    <row r="65" spans="2:6" x14ac:dyDescent="0.35">
      <c r="B65" s="2">
        <f t="shared" si="4"/>
        <v>47423</v>
      </c>
      <c r="C65" s="2">
        <f t="shared" si="0"/>
        <v>47452</v>
      </c>
      <c r="D65" s="16">
        <f t="shared" si="3"/>
        <v>11</v>
      </c>
      <c r="E65" s="15">
        <f t="shared" si="1"/>
        <v>30</v>
      </c>
      <c r="F65" s="2"/>
    </row>
    <row r="66" spans="2:6" x14ac:dyDescent="0.35">
      <c r="B66" s="2">
        <f t="shared" si="4"/>
        <v>47453</v>
      </c>
      <c r="C66" s="2">
        <f t="shared" si="0"/>
        <v>47483</v>
      </c>
      <c r="D66" s="16">
        <f t="shared" si="3"/>
        <v>12</v>
      </c>
      <c r="E66" s="15">
        <f t="shared" si="1"/>
        <v>31</v>
      </c>
      <c r="F66" s="2"/>
    </row>
    <row r="67" spans="2:6" x14ac:dyDescent="0.35">
      <c r="B67" s="2">
        <f t="shared" si="4"/>
        <v>47484</v>
      </c>
      <c r="C67" s="2">
        <f t="shared" si="0"/>
        <v>47514</v>
      </c>
      <c r="D67" s="16">
        <f t="shared" si="3"/>
        <v>1</v>
      </c>
      <c r="E67" s="15">
        <f t="shared" si="1"/>
        <v>31</v>
      </c>
      <c r="F67" s="2"/>
    </row>
    <row r="68" spans="2:6" x14ac:dyDescent="0.35">
      <c r="B68" s="2">
        <f t="shared" si="4"/>
        <v>47515</v>
      </c>
      <c r="C68" s="2">
        <f t="shared" si="0"/>
        <v>47542</v>
      </c>
      <c r="D68" s="16">
        <f t="shared" si="3"/>
        <v>2</v>
      </c>
      <c r="E68" s="15">
        <f t="shared" si="1"/>
        <v>28</v>
      </c>
      <c r="F68" s="2"/>
    </row>
    <row r="69" spans="2:6" x14ac:dyDescent="0.35">
      <c r="B69" s="2">
        <f t="shared" si="4"/>
        <v>47543</v>
      </c>
      <c r="C69" s="2">
        <f t="shared" ref="C69:C132" si="5">IF(DATE(YEAR(B69),MONTH(B69)+1,0)&gt;$C$2,$C$2,DATE(YEAR(B69),MONTH(B69)+1,0))</f>
        <v>47573</v>
      </c>
      <c r="D69" s="16">
        <f t="shared" si="3"/>
        <v>3</v>
      </c>
      <c r="E69" s="15">
        <f t="shared" ref="E69:E132" si="6">C69-B69+1</f>
        <v>31</v>
      </c>
      <c r="F69" s="2"/>
    </row>
    <row r="70" spans="2:6" x14ac:dyDescent="0.35">
      <c r="B70" s="2">
        <f t="shared" si="4"/>
        <v>47574</v>
      </c>
      <c r="C70" s="2">
        <f t="shared" si="5"/>
        <v>47603</v>
      </c>
      <c r="D70" s="16">
        <f t="shared" ref="D70:D133" si="7">IF(B70&lt;=$C$2,IF(D69=12,1,D69+1),"FIN")</f>
        <v>4</v>
      </c>
      <c r="E70" s="15">
        <f t="shared" si="6"/>
        <v>30</v>
      </c>
      <c r="F70" s="2"/>
    </row>
    <row r="71" spans="2:6" x14ac:dyDescent="0.35">
      <c r="B71" s="2">
        <f t="shared" si="4"/>
        <v>47604</v>
      </c>
      <c r="C71" s="2">
        <f t="shared" si="5"/>
        <v>47634</v>
      </c>
      <c r="D71" s="16">
        <f t="shared" si="7"/>
        <v>5</v>
      </c>
      <c r="E71" s="15">
        <f t="shared" si="6"/>
        <v>31</v>
      </c>
      <c r="F71" s="2"/>
    </row>
    <row r="72" spans="2:6" x14ac:dyDescent="0.35">
      <c r="B72" s="2">
        <f t="shared" si="4"/>
        <v>47635</v>
      </c>
      <c r="C72" s="2">
        <f t="shared" si="5"/>
        <v>47664</v>
      </c>
      <c r="D72" s="16">
        <f t="shared" si="7"/>
        <v>6</v>
      </c>
      <c r="E72" s="15">
        <f t="shared" si="6"/>
        <v>30</v>
      </c>
      <c r="F72" s="2"/>
    </row>
    <row r="73" spans="2:6" x14ac:dyDescent="0.35">
      <c r="B73" s="2">
        <f t="shared" ref="B73:B114" si="8">C72+1</f>
        <v>47665</v>
      </c>
      <c r="C73" s="2">
        <f t="shared" si="5"/>
        <v>47695</v>
      </c>
      <c r="D73" s="16">
        <f t="shared" si="7"/>
        <v>7</v>
      </c>
      <c r="E73" s="15">
        <f t="shared" si="6"/>
        <v>31</v>
      </c>
      <c r="F73" s="2"/>
    </row>
    <row r="74" spans="2:6" x14ac:dyDescent="0.35">
      <c r="B74" s="2">
        <f t="shared" si="8"/>
        <v>47696</v>
      </c>
      <c r="C74" s="2">
        <f t="shared" si="5"/>
        <v>47726</v>
      </c>
      <c r="D74" s="16">
        <f t="shared" si="7"/>
        <v>8</v>
      </c>
      <c r="E74" s="15">
        <f t="shared" si="6"/>
        <v>31</v>
      </c>
      <c r="F74" s="2"/>
    </row>
    <row r="75" spans="2:6" x14ac:dyDescent="0.35">
      <c r="B75" s="2">
        <f t="shared" si="8"/>
        <v>47727</v>
      </c>
      <c r="C75" s="2">
        <f t="shared" si="5"/>
        <v>47756</v>
      </c>
      <c r="D75" s="16">
        <f t="shared" si="7"/>
        <v>9</v>
      </c>
      <c r="E75" s="15">
        <f t="shared" si="6"/>
        <v>30</v>
      </c>
      <c r="F75" s="2"/>
    </row>
    <row r="76" spans="2:6" x14ac:dyDescent="0.35">
      <c r="B76" s="2">
        <f t="shared" si="8"/>
        <v>47757</v>
      </c>
      <c r="C76" s="2">
        <f t="shared" si="5"/>
        <v>47787</v>
      </c>
      <c r="D76" s="16">
        <f t="shared" si="7"/>
        <v>10</v>
      </c>
      <c r="E76" s="15">
        <f t="shared" si="6"/>
        <v>31</v>
      </c>
      <c r="F76" s="2"/>
    </row>
    <row r="77" spans="2:6" x14ac:dyDescent="0.35">
      <c r="B77" s="2">
        <f t="shared" si="8"/>
        <v>47788</v>
      </c>
      <c r="C77" s="2">
        <f t="shared" si="5"/>
        <v>47817</v>
      </c>
      <c r="D77" s="16">
        <f t="shared" si="7"/>
        <v>11</v>
      </c>
      <c r="E77" s="15">
        <f t="shared" si="6"/>
        <v>30</v>
      </c>
      <c r="F77" s="2"/>
    </row>
    <row r="78" spans="2:6" x14ac:dyDescent="0.35">
      <c r="B78" s="2">
        <f t="shared" si="8"/>
        <v>47818</v>
      </c>
      <c r="C78" s="2">
        <f t="shared" si="5"/>
        <v>47848</v>
      </c>
      <c r="D78" s="16">
        <f t="shared" si="7"/>
        <v>12</v>
      </c>
      <c r="E78" s="15">
        <f t="shared" si="6"/>
        <v>31</v>
      </c>
      <c r="F78" s="2"/>
    </row>
    <row r="79" spans="2:6" x14ac:dyDescent="0.35">
      <c r="B79" s="2">
        <f t="shared" si="8"/>
        <v>47849</v>
      </c>
      <c r="C79" s="2">
        <f t="shared" si="5"/>
        <v>47879</v>
      </c>
      <c r="D79" s="16">
        <f t="shared" si="7"/>
        <v>1</v>
      </c>
      <c r="E79" s="15">
        <f t="shared" si="6"/>
        <v>31</v>
      </c>
      <c r="F79" s="2"/>
    </row>
    <row r="80" spans="2:6" x14ac:dyDescent="0.35">
      <c r="B80" s="2">
        <f t="shared" si="8"/>
        <v>47880</v>
      </c>
      <c r="C80" s="2">
        <f t="shared" si="5"/>
        <v>47907</v>
      </c>
      <c r="D80" s="16">
        <f t="shared" si="7"/>
        <v>2</v>
      </c>
      <c r="E80" s="15">
        <f t="shared" si="6"/>
        <v>28</v>
      </c>
      <c r="F80" s="2"/>
    </row>
    <row r="81" spans="2:6" x14ac:dyDescent="0.35">
      <c r="B81" s="2">
        <f t="shared" si="8"/>
        <v>47908</v>
      </c>
      <c r="C81" s="2">
        <f t="shared" si="5"/>
        <v>47938</v>
      </c>
      <c r="D81" s="16">
        <f t="shared" si="7"/>
        <v>3</v>
      </c>
      <c r="E81" s="15">
        <f t="shared" si="6"/>
        <v>31</v>
      </c>
      <c r="F81" s="2"/>
    </row>
    <row r="82" spans="2:6" x14ac:dyDescent="0.35">
      <c r="B82" s="2">
        <f t="shared" si="8"/>
        <v>47939</v>
      </c>
      <c r="C82" s="2">
        <f t="shared" si="5"/>
        <v>47968</v>
      </c>
      <c r="D82" s="16">
        <f t="shared" si="7"/>
        <v>4</v>
      </c>
      <c r="E82" s="15">
        <f t="shared" si="6"/>
        <v>30</v>
      </c>
      <c r="F82" s="2"/>
    </row>
    <row r="83" spans="2:6" x14ac:dyDescent="0.35">
      <c r="B83" s="2">
        <f t="shared" si="8"/>
        <v>47969</v>
      </c>
      <c r="C83" s="2">
        <f t="shared" si="5"/>
        <v>47999</v>
      </c>
      <c r="D83" s="16">
        <f t="shared" si="7"/>
        <v>5</v>
      </c>
      <c r="E83" s="15">
        <f t="shared" si="6"/>
        <v>31</v>
      </c>
      <c r="F83" s="2"/>
    </row>
    <row r="84" spans="2:6" x14ac:dyDescent="0.35">
      <c r="B84" s="2">
        <f t="shared" si="8"/>
        <v>48000</v>
      </c>
      <c r="C84" s="2">
        <f t="shared" si="5"/>
        <v>48029</v>
      </c>
      <c r="D84" s="16">
        <f t="shared" si="7"/>
        <v>6</v>
      </c>
      <c r="E84" s="15">
        <f t="shared" si="6"/>
        <v>30</v>
      </c>
      <c r="F84" s="2"/>
    </row>
    <row r="85" spans="2:6" x14ac:dyDescent="0.35">
      <c r="B85" s="2">
        <f t="shared" si="8"/>
        <v>48030</v>
      </c>
      <c r="C85" s="2">
        <f t="shared" si="5"/>
        <v>48060</v>
      </c>
      <c r="D85" s="16">
        <f t="shared" si="7"/>
        <v>7</v>
      </c>
      <c r="E85" s="15">
        <f t="shared" si="6"/>
        <v>31</v>
      </c>
      <c r="F85" s="2"/>
    </row>
    <row r="86" spans="2:6" x14ac:dyDescent="0.35">
      <c r="B86" s="2">
        <f t="shared" si="8"/>
        <v>48061</v>
      </c>
      <c r="C86" s="2">
        <f t="shared" si="5"/>
        <v>48091</v>
      </c>
      <c r="D86" s="16">
        <f t="shared" si="7"/>
        <v>8</v>
      </c>
      <c r="E86" s="15">
        <f t="shared" si="6"/>
        <v>31</v>
      </c>
      <c r="F86" s="2"/>
    </row>
    <row r="87" spans="2:6" x14ac:dyDescent="0.35">
      <c r="B87" s="2">
        <f t="shared" si="8"/>
        <v>48092</v>
      </c>
      <c r="C87" s="2">
        <f t="shared" si="5"/>
        <v>48121</v>
      </c>
      <c r="D87" s="16">
        <f t="shared" si="7"/>
        <v>9</v>
      </c>
      <c r="E87" s="15">
        <f t="shared" si="6"/>
        <v>30</v>
      </c>
      <c r="F87" s="2"/>
    </row>
    <row r="88" spans="2:6" x14ac:dyDescent="0.35">
      <c r="B88" s="2">
        <f t="shared" si="8"/>
        <v>48122</v>
      </c>
      <c r="C88" s="2">
        <f t="shared" si="5"/>
        <v>48152</v>
      </c>
      <c r="D88" s="16">
        <f t="shared" si="7"/>
        <v>10</v>
      </c>
      <c r="E88" s="15">
        <f t="shared" si="6"/>
        <v>31</v>
      </c>
      <c r="F88" s="2"/>
    </row>
    <row r="89" spans="2:6" x14ac:dyDescent="0.35">
      <c r="B89" s="2">
        <f t="shared" si="8"/>
        <v>48153</v>
      </c>
      <c r="C89" s="2">
        <f t="shared" si="5"/>
        <v>48182</v>
      </c>
      <c r="D89" s="16">
        <f t="shared" si="7"/>
        <v>11</v>
      </c>
      <c r="E89" s="15">
        <f t="shared" si="6"/>
        <v>30</v>
      </c>
      <c r="F89" s="2"/>
    </row>
    <row r="90" spans="2:6" x14ac:dyDescent="0.35">
      <c r="B90" s="2">
        <f t="shared" si="8"/>
        <v>48183</v>
      </c>
      <c r="C90" s="2">
        <f t="shared" si="5"/>
        <v>48213</v>
      </c>
      <c r="D90" s="16">
        <f t="shared" si="7"/>
        <v>12</v>
      </c>
      <c r="E90" s="15">
        <f t="shared" si="6"/>
        <v>31</v>
      </c>
      <c r="F90" s="2"/>
    </row>
    <row r="91" spans="2:6" x14ac:dyDescent="0.35">
      <c r="B91" s="2">
        <f t="shared" si="8"/>
        <v>48214</v>
      </c>
      <c r="C91" s="2">
        <f t="shared" si="5"/>
        <v>48244</v>
      </c>
      <c r="D91" s="16">
        <f t="shared" si="7"/>
        <v>1</v>
      </c>
      <c r="E91" s="15">
        <f t="shared" si="6"/>
        <v>31</v>
      </c>
      <c r="F91" s="2"/>
    </row>
    <row r="92" spans="2:6" x14ac:dyDescent="0.35">
      <c r="B92" s="2">
        <f t="shared" si="8"/>
        <v>48245</v>
      </c>
      <c r="C92" s="2">
        <f t="shared" si="5"/>
        <v>48273</v>
      </c>
      <c r="D92" s="16">
        <f t="shared" si="7"/>
        <v>2</v>
      </c>
      <c r="E92" s="15">
        <f t="shared" si="6"/>
        <v>29</v>
      </c>
      <c r="F92" s="2"/>
    </row>
    <row r="93" spans="2:6" x14ac:dyDescent="0.35">
      <c r="B93" s="2">
        <f t="shared" si="8"/>
        <v>48274</v>
      </c>
      <c r="C93" s="2">
        <f t="shared" si="5"/>
        <v>48304</v>
      </c>
      <c r="D93" s="16">
        <f t="shared" si="7"/>
        <v>3</v>
      </c>
      <c r="E93" s="15">
        <f t="shared" si="6"/>
        <v>31</v>
      </c>
      <c r="F93" s="2"/>
    </row>
    <row r="94" spans="2:6" x14ac:dyDescent="0.35">
      <c r="B94" s="2">
        <f t="shared" si="8"/>
        <v>48305</v>
      </c>
      <c r="C94" s="2">
        <f t="shared" si="5"/>
        <v>48334</v>
      </c>
      <c r="D94" s="16">
        <f t="shared" si="7"/>
        <v>4</v>
      </c>
      <c r="E94" s="15">
        <f t="shared" si="6"/>
        <v>30</v>
      </c>
      <c r="F94" s="2"/>
    </row>
    <row r="95" spans="2:6" x14ac:dyDescent="0.35">
      <c r="B95" s="2">
        <f t="shared" si="8"/>
        <v>48335</v>
      </c>
      <c r="C95" s="2">
        <f t="shared" si="5"/>
        <v>48365</v>
      </c>
      <c r="D95" s="16">
        <f t="shared" si="7"/>
        <v>5</v>
      </c>
      <c r="E95" s="15">
        <f t="shared" si="6"/>
        <v>31</v>
      </c>
      <c r="F95" s="2"/>
    </row>
    <row r="96" spans="2:6" x14ac:dyDescent="0.35">
      <c r="B96" s="2">
        <f t="shared" si="8"/>
        <v>48366</v>
      </c>
      <c r="C96" s="2">
        <f t="shared" si="5"/>
        <v>48395</v>
      </c>
      <c r="D96" s="16">
        <f t="shared" si="7"/>
        <v>6</v>
      </c>
      <c r="E96" s="15">
        <f t="shared" si="6"/>
        <v>30</v>
      </c>
      <c r="F96" s="2"/>
    </row>
    <row r="97" spans="2:6" x14ac:dyDescent="0.35">
      <c r="B97" s="2">
        <f t="shared" si="8"/>
        <v>48396</v>
      </c>
      <c r="C97" s="2">
        <f t="shared" si="5"/>
        <v>48426</v>
      </c>
      <c r="D97" s="16">
        <f t="shared" si="7"/>
        <v>7</v>
      </c>
      <c r="E97" s="15">
        <f t="shared" si="6"/>
        <v>31</v>
      </c>
      <c r="F97" s="2"/>
    </row>
    <row r="98" spans="2:6" x14ac:dyDescent="0.35">
      <c r="B98" s="2">
        <f t="shared" si="8"/>
        <v>48427</v>
      </c>
      <c r="C98" s="2">
        <f t="shared" si="5"/>
        <v>48457</v>
      </c>
      <c r="D98" s="16">
        <f t="shared" si="7"/>
        <v>8</v>
      </c>
      <c r="E98" s="15">
        <f t="shared" si="6"/>
        <v>31</v>
      </c>
      <c r="F98" s="2"/>
    </row>
    <row r="99" spans="2:6" x14ac:dyDescent="0.35">
      <c r="B99" s="2">
        <f t="shared" si="8"/>
        <v>48458</v>
      </c>
      <c r="C99" s="2">
        <f t="shared" si="5"/>
        <v>48487</v>
      </c>
      <c r="D99" s="16">
        <f t="shared" si="7"/>
        <v>9</v>
      </c>
      <c r="E99" s="15">
        <f t="shared" si="6"/>
        <v>30</v>
      </c>
      <c r="F99" s="2"/>
    </row>
    <row r="100" spans="2:6" x14ac:dyDescent="0.35">
      <c r="B100" s="2">
        <f t="shared" si="8"/>
        <v>48488</v>
      </c>
      <c r="C100" s="2">
        <f t="shared" si="5"/>
        <v>48518</v>
      </c>
      <c r="D100" s="16">
        <f t="shared" si="7"/>
        <v>10</v>
      </c>
      <c r="E100" s="15">
        <f t="shared" si="6"/>
        <v>31</v>
      </c>
      <c r="F100" s="2"/>
    </row>
    <row r="101" spans="2:6" x14ac:dyDescent="0.35">
      <c r="B101" s="2">
        <f t="shared" si="8"/>
        <v>48519</v>
      </c>
      <c r="C101" s="2">
        <f t="shared" si="5"/>
        <v>48548</v>
      </c>
      <c r="D101" s="16">
        <f t="shared" si="7"/>
        <v>11</v>
      </c>
      <c r="E101" s="15">
        <f t="shared" si="6"/>
        <v>30</v>
      </c>
      <c r="F101" s="2"/>
    </row>
    <row r="102" spans="2:6" x14ac:dyDescent="0.35">
      <c r="B102" s="2">
        <f t="shared" si="8"/>
        <v>48549</v>
      </c>
      <c r="C102" s="2">
        <f t="shared" si="5"/>
        <v>48579</v>
      </c>
      <c r="D102" s="16">
        <f t="shared" si="7"/>
        <v>12</v>
      </c>
      <c r="E102" s="15">
        <f t="shared" si="6"/>
        <v>31</v>
      </c>
      <c r="F102" s="2"/>
    </row>
    <row r="103" spans="2:6" x14ac:dyDescent="0.35">
      <c r="B103" s="2">
        <f t="shared" si="8"/>
        <v>48580</v>
      </c>
      <c r="C103" s="2">
        <f t="shared" si="5"/>
        <v>48610</v>
      </c>
      <c r="D103" s="16">
        <f t="shared" si="7"/>
        <v>1</v>
      </c>
      <c r="E103" s="15">
        <f t="shared" si="6"/>
        <v>31</v>
      </c>
      <c r="F103" s="2"/>
    </row>
    <row r="104" spans="2:6" x14ac:dyDescent="0.35">
      <c r="B104" s="2">
        <f t="shared" si="8"/>
        <v>48611</v>
      </c>
      <c r="C104" s="2">
        <f t="shared" si="5"/>
        <v>48638</v>
      </c>
      <c r="D104" s="16">
        <f t="shared" si="7"/>
        <v>2</v>
      </c>
      <c r="E104" s="15">
        <f t="shared" si="6"/>
        <v>28</v>
      </c>
      <c r="F104" s="2"/>
    </row>
    <row r="105" spans="2:6" x14ac:dyDescent="0.35">
      <c r="B105" s="2">
        <f t="shared" si="8"/>
        <v>48639</v>
      </c>
      <c r="C105" s="2">
        <f t="shared" si="5"/>
        <v>48669</v>
      </c>
      <c r="D105" s="16">
        <f t="shared" si="7"/>
        <v>3</v>
      </c>
      <c r="E105" s="15">
        <f t="shared" si="6"/>
        <v>31</v>
      </c>
      <c r="F105" s="2"/>
    </row>
    <row r="106" spans="2:6" x14ac:dyDescent="0.35">
      <c r="B106" s="2">
        <f t="shared" si="8"/>
        <v>48670</v>
      </c>
      <c r="C106" s="2">
        <f t="shared" si="5"/>
        <v>48699</v>
      </c>
      <c r="D106" s="16">
        <f t="shared" si="7"/>
        <v>4</v>
      </c>
      <c r="E106" s="15">
        <f t="shared" si="6"/>
        <v>30</v>
      </c>
      <c r="F106" s="2"/>
    </row>
    <row r="107" spans="2:6" x14ac:dyDescent="0.35">
      <c r="B107" s="2">
        <f t="shared" si="8"/>
        <v>48700</v>
      </c>
      <c r="C107" s="2">
        <f t="shared" si="5"/>
        <v>48730</v>
      </c>
      <c r="D107" s="16">
        <f t="shared" si="7"/>
        <v>5</v>
      </c>
      <c r="E107" s="15">
        <f t="shared" si="6"/>
        <v>31</v>
      </c>
      <c r="F107" s="2"/>
    </row>
    <row r="108" spans="2:6" x14ac:dyDescent="0.35">
      <c r="B108" s="2">
        <f t="shared" si="8"/>
        <v>48731</v>
      </c>
      <c r="C108" s="2">
        <f t="shared" si="5"/>
        <v>48760</v>
      </c>
      <c r="D108" s="16">
        <f t="shared" si="7"/>
        <v>6</v>
      </c>
      <c r="E108" s="15">
        <f t="shared" si="6"/>
        <v>30</v>
      </c>
      <c r="F108" s="2"/>
    </row>
    <row r="109" spans="2:6" x14ac:dyDescent="0.35">
      <c r="B109" s="2">
        <f t="shared" si="8"/>
        <v>48761</v>
      </c>
      <c r="C109" s="2">
        <f t="shared" si="5"/>
        <v>48791</v>
      </c>
      <c r="D109" s="16">
        <f t="shared" si="7"/>
        <v>7</v>
      </c>
      <c r="E109" s="15">
        <f t="shared" si="6"/>
        <v>31</v>
      </c>
      <c r="F109" s="2"/>
    </row>
    <row r="110" spans="2:6" x14ac:dyDescent="0.35">
      <c r="B110" s="2">
        <f t="shared" si="8"/>
        <v>48792</v>
      </c>
      <c r="C110" s="2">
        <f t="shared" si="5"/>
        <v>48822</v>
      </c>
      <c r="D110" s="16">
        <f t="shared" si="7"/>
        <v>8</v>
      </c>
      <c r="E110" s="15">
        <f t="shared" si="6"/>
        <v>31</v>
      </c>
      <c r="F110" s="2"/>
    </row>
    <row r="111" spans="2:6" x14ac:dyDescent="0.35">
      <c r="B111" s="2">
        <f t="shared" si="8"/>
        <v>48823</v>
      </c>
      <c r="C111" s="2">
        <f t="shared" si="5"/>
        <v>48852</v>
      </c>
      <c r="D111" s="16">
        <f t="shared" si="7"/>
        <v>9</v>
      </c>
      <c r="E111" s="15">
        <f t="shared" si="6"/>
        <v>30</v>
      </c>
      <c r="F111" s="2"/>
    </row>
    <row r="112" spans="2:6" x14ac:dyDescent="0.35">
      <c r="B112" s="2">
        <f t="shared" si="8"/>
        <v>48853</v>
      </c>
      <c r="C112" s="2">
        <f t="shared" si="5"/>
        <v>48883</v>
      </c>
      <c r="D112" s="16">
        <f t="shared" si="7"/>
        <v>10</v>
      </c>
      <c r="E112" s="15">
        <f t="shared" si="6"/>
        <v>31</v>
      </c>
      <c r="F112" s="2"/>
    </row>
    <row r="113" spans="2:6" x14ac:dyDescent="0.35">
      <c r="B113" s="2">
        <f t="shared" si="8"/>
        <v>48884</v>
      </c>
      <c r="C113" s="2">
        <f t="shared" si="5"/>
        <v>48913</v>
      </c>
      <c r="D113" s="16">
        <f t="shared" si="7"/>
        <v>11</v>
      </c>
      <c r="E113" s="15">
        <f t="shared" si="6"/>
        <v>30</v>
      </c>
      <c r="F113" s="2"/>
    </row>
    <row r="114" spans="2:6" x14ac:dyDescent="0.35">
      <c r="B114" s="2">
        <f t="shared" si="8"/>
        <v>48914</v>
      </c>
      <c r="C114" s="2">
        <f t="shared" si="5"/>
        <v>48944</v>
      </c>
      <c r="D114" s="16">
        <f t="shared" si="7"/>
        <v>12</v>
      </c>
      <c r="E114" s="15">
        <f t="shared" si="6"/>
        <v>31</v>
      </c>
      <c r="F114" s="2"/>
    </row>
    <row r="115" spans="2:6" x14ac:dyDescent="0.35">
      <c r="B115" s="2">
        <f t="shared" ref="B115:B137" si="9">C114+1</f>
        <v>48945</v>
      </c>
      <c r="C115" s="2">
        <f t="shared" si="5"/>
        <v>48975</v>
      </c>
      <c r="D115" s="16">
        <f t="shared" si="7"/>
        <v>1</v>
      </c>
      <c r="E115" s="15">
        <f t="shared" si="6"/>
        <v>31</v>
      </c>
      <c r="F115" s="2"/>
    </row>
    <row r="116" spans="2:6" x14ac:dyDescent="0.35">
      <c r="B116" s="2">
        <f t="shared" si="9"/>
        <v>48976</v>
      </c>
      <c r="C116" s="2">
        <f t="shared" si="5"/>
        <v>49003</v>
      </c>
      <c r="D116" s="16">
        <f t="shared" si="7"/>
        <v>2</v>
      </c>
      <c r="E116" s="15">
        <f t="shared" si="6"/>
        <v>28</v>
      </c>
      <c r="F116" s="2"/>
    </row>
    <row r="117" spans="2:6" x14ac:dyDescent="0.35">
      <c r="B117" s="2">
        <f t="shared" si="9"/>
        <v>49004</v>
      </c>
      <c r="C117" s="2">
        <f t="shared" si="5"/>
        <v>49034</v>
      </c>
      <c r="D117" s="16">
        <f t="shared" si="7"/>
        <v>3</v>
      </c>
      <c r="E117" s="15">
        <f t="shared" si="6"/>
        <v>31</v>
      </c>
      <c r="F117" s="2"/>
    </row>
    <row r="118" spans="2:6" x14ac:dyDescent="0.35">
      <c r="B118" s="2">
        <f t="shared" si="9"/>
        <v>49035</v>
      </c>
      <c r="C118" s="2">
        <f t="shared" si="5"/>
        <v>49064</v>
      </c>
      <c r="D118" s="16">
        <f t="shared" si="7"/>
        <v>4</v>
      </c>
      <c r="E118" s="15">
        <f t="shared" si="6"/>
        <v>30</v>
      </c>
      <c r="F118" s="2"/>
    </row>
    <row r="119" spans="2:6" x14ac:dyDescent="0.35">
      <c r="B119" s="2">
        <f t="shared" si="9"/>
        <v>49065</v>
      </c>
      <c r="C119" s="2">
        <f t="shared" si="5"/>
        <v>49095</v>
      </c>
      <c r="D119" s="16">
        <f t="shared" si="7"/>
        <v>5</v>
      </c>
      <c r="E119" s="15">
        <f t="shared" si="6"/>
        <v>31</v>
      </c>
      <c r="F119" s="2"/>
    </row>
    <row r="120" spans="2:6" x14ac:dyDescent="0.35">
      <c r="B120" s="2">
        <f t="shared" si="9"/>
        <v>49096</v>
      </c>
      <c r="C120" s="2">
        <f t="shared" si="5"/>
        <v>49125</v>
      </c>
      <c r="D120" s="16">
        <f t="shared" si="7"/>
        <v>6</v>
      </c>
      <c r="E120" s="15">
        <f t="shared" si="6"/>
        <v>30</v>
      </c>
      <c r="F120" s="2"/>
    </row>
    <row r="121" spans="2:6" x14ac:dyDescent="0.35">
      <c r="B121" s="2">
        <f t="shared" si="9"/>
        <v>49126</v>
      </c>
      <c r="C121" s="2">
        <f t="shared" si="5"/>
        <v>49156</v>
      </c>
      <c r="D121" s="16">
        <f t="shared" si="7"/>
        <v>7</v>
      </c>
      <c r="E121" s="15">
        <f t="shared" si="6"/>
        <v>31</v>
      </c>
      <c r="F121" s="2"/>
    </row>
    <row r="122" spans="2:6" x14ac:dyDescent="0.35">
      <c r="B122" s="2">
        <f t="shared" si="9"/>
        <v>49157</v>
      </c>
      <c r="C122" s="2">
        <f t="shared" si="5"/>
        <v>49187</v>
      </c>
      <c r="D122" s="16">
        <f t="shared" si="7"/>
        <v>8</v>
      </c>
      <c r="E122" s="15">
        <f t="shared" si="6"/>
        <v>31</v>
      </c>
      <c r="F122" s="2"/>
    </row>
    <row r="123" spans="2:6" x14ac:dyDescent="0.35">
      <c r="B123" s="2">
        <f t="shared" si="9"/>
        <v>49188</v>
      </c>
      <c r="C123" s="2">
        <f t="shared" si="5"/>
        <v>49217</v>
      </c>
      <c r="D123" s="16">
        <f t="shared" si="7"/>
        <v>9</v>
      </c>
      <c r="E123" s="15">
        <f t="shared" si="6"/>
        <v>30</v>
      </c>
      <c r="F123" s="2"/>
    </row>
    <row r="124" spans="2:6" x14ac:dyDescent="0.35">
      <c r="B124" s="2">
        <f t="shared" si="9"/>
        <v>49218</v>
      </c>
      <c r="C124" s="2">
        <f t="shared" si="5"/>
        <v>49248</v>
      </c>
      <c r="D124" s="16">
        <f t="shared" si="7"/>
        <v>10</v>
      </c>
      <c r="E124" s="15">
        <f t="shared" si="6"/>
        <v>31</v>
      </c>
      <c r="F124" s="2"/>
    </row>
    <row r="125" spans="2:6" x14ac:dyDescent="0.35">
      <c r="B125" s="2">
        <f t="shared" si="9"/>
        <v>49249</v>
      </c>
      <c r="C125" s="2">
        <f t="shared" si="5"/>
        <v>49278</v>
      </c>
      <c r="D125" s="16">
        <f t="shared" si="7"/>
        <v>11</v>
      </c>
      <c r="E125" s="15">
        <f t="shared" si="6"/>
        <v>30</v>
      </c>
      <c r="F125" s="2"/>
    </row>
    <row r="126" spans="2:6" x14ac:dyDescent="0.35">
      <c r="B126" s="2">
        <f t="shared" si="9"/>
        <v>49279</v>
      </c>
      <c r="C126" s="2">
        <f t="shared" si="5"/>
        <v>49309</v>
      </c>
      <c r="D126" s="16">
        <f t="shared" si="7"/>
        <v>12</v>
      </c>
      <c r="E126" s="15">
        <f t="shared" si="6"/>
        <v>31</v>
      </c>
      <c r="F126" s="2"/>
    </row>
    <row r="127" spans="2:6" x14ac:dyDescent="0.35">
      <c r="B127" s="2">
        <f t="shared" si="9"/>
        <v>49310</v>
      </c>
      <c r="C127" s="2">
        <f t="shared" si="5"/>
        <v>49340</v>
      </c>
      <c r="D127" s="16">
        <f t="shared" si="7"/>
        <v>1</v>
      </c>
      <c r="E127" s="15">
        <f t="shared" si="6"/>
        <v>31</v>
      </c>
      <c r="F127" s="2"/>
    </row>
    <row r="128" spans="2:6" x14ac:dyDescent="0.35">
      <c r="B128" s="2">
        <f t="shared" si="9"/>
        <v>49341</v>
      </c>
      <c r="C128" s="2">
        <f t="shared" si="5"/>
        <v>49368</v>
      </c>
      <c r="D128" s="16">
        <f t="shared" si="7"/>
        <v>2</v>
      </c>
      <c r="E128" s="15">
        <f t="shared" si="6"/>
        <v>28</v>
      </c>
      <c r="F128" s="2"/>
    </row>
    <row r="129" spans="2:6" x14ac:dyDescent="0.35">
      <c r="B129" s="2">
        <f t="shared" si="9"/>
        <v>49369</v>
      </c>
      <c r="C129" s="2">
        <f t="shared" si="5"/>
        <v>49399</v>
      </c>
      <c r="D129" s="16">
        <f t="shared" si="7"/>
        <v>3</v>
      </c>
      <c r="E129" s="15">
        <f t="shared" si="6"/>
        <v>31</v>
      </c>
      <c r="F129" s="2"/>
    </row>
    <row r="130" spans="2:6" x14ac:dyDescent="0.35">
      <c r="B130" s="2">
        <f t="shared" si="9"/>
        <v>49400</v>
      </c>
      <c r="C130" s="2">
        <f t="shared" si="5"/>
        <v>49429</v>
      </c>
      <c r="D130" s="16">
        <f t="shared" si="7"/>
        <v>4</v>
      </c>
      <c r="E130" s="15">
        <f t="shared" si="6"/>
        <v>30</v>
      </c>
      <c r="F130" s="2"/>
    </row>
    <row r="131" spans="2:6" x14ac:dyDescent="0.35">
      <c r="B131" s="2">
        <f t="shared" si="9"/>
        <v>49430</v>
      </c>
      <c r="C131" s="2">
        <f t="shared" si="5"/>
        <v>49460</v>
      </c>
      <c r="D131" s="16">
        <f t="shared" si="7"/>
        <v>5</v>
      </c>
      <c r="E131" s="15">
        <f t="shared" si="6"/>
        <v>31</v>
      </c>
      <c r="F131" s="2"/>
    </row>
    <row r="132" spans="2:6" x14ac:dyDescent="0.35">
      <c r="B132" s="2">
        <f t="shared" si="9"/>
        <v>49461</v>
      </c>
      <c r="C132" s="2">
        <f t="shared" si="5"/>
        <v>49490</v>
      </c>
      <c r="D132" s="16">
        <f t="shared" si="7"/>
        <v>6</v>
      </c>
      <c r="E132" s="15">
        <f t="shared" si="6"/>
        <v>30</v>
      </c>
      <c r="F132" s="2"/>
    </row>
    <row r="133" spans="2:6" x14ac:dyDescent="0.35">
      <c r="B133" s="2">
        <f t="shared" si="9"/>
        <v>49491</v>
      </c>
      <c r="C133" s="2">
        <f t="shared" ref="C133:C137" si="10">IF(DATE(YEAR(B133),MONTH(B133)+1,0)&gt;$C$2,$C$2,DATE(YEAR(B133),MONTH(B133)+1,0))</f>
        <v>49521</v>
      </c>
      <c r="D133" s="16">
        <f t="shared" si="7"/>
        <v>7</v>
      </c>
      <c r="E133" s="15">
        <f t="shared" ref="E133:E137" si="11">C133-B133+1</f>
        <v>31</v>
      </c>
      <c r="F133" s="2"/>
    </row>
    <row r="134" spans="2:6" x14ac:dyDescent="0.35">
      <c r="B134" s="2">
        <f t="shared" si="9"/>
        <v>49522</v>
      </c>
      <c r="C134" s="2">
        <f t="shared" si="10"/>
        <v>49552</v>
      </c>
      <c r="D134" s="16">
        <f t="shared" ref="D134:D137" si="12">IF(B134&lt;=$C$2,IF(D133=12,1,D133+1),"FIN")</f>
        <v>8</v>
      </c>
      <c r="E134" s="15">
        <f t="shared" si="11"/>
        <v>31</v>
      </c>
      <c r="F134" s="2"/>
    </row>
    <row r="135" spans="2:6" x14ac:dyDescent="0.35">
      <c r="B135" s="2">
        <f t="shared" si="9"/>
        <v>49553</v>
      </c>
      <c r="C135" s="2">
        <f t="shared" si="10"/>
        <v>49582</v>
      </c>
      <c r="D135" s="16">
        <f t="shared" si="12"/>
        <v>9</v>
      </c>
      <c r="E135" s="15">
        <f t="shared" si="11"/>
        <v>30</v>
      </c>
      <c r="F135" s="2"/>
    </row>
    <row r="136" spans="2:6" x14ac:dyDescent="0.35">
      <c r="B136" s="2">
        <f t="shared" si="9"/>
        <v>49583</v>
      </c>
      <c r="C136" s="2">
        <f t="shared" si="10"/>
        <v>49613</v>
      </c>
      <c r="D136" s="16">
        <f t="shared" si="12"/>
        <v>10</v>
      </c>
      <c r="E136" s="15">
        <f t="shared" si="11"/>
        <v>31</v>
      </c>
      <c r="F136" s="2"/>
    </row>
    <row r="137" spans="2:6" x14ac:dyDescent="0.35">
      <c r="B137" s="2">
        <f t="shared" si="9"/>
        <v>49614</v>
      </c>
      <c r="C137" s="2">
        <f t="shared" si="10"/>
        <v>49643</v>
      </c>
      <c r="D137" s="16">
        <f t="shared" si="12"/>
        <v>11</v>
      </c>
      <c r="E137" s="15">
        <f t="shared" si="11"/>
        <v>30</v>
      </c>
      <c r="F137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258bdc-acbf-4395-8df8-2c372ae92e62" xsi:nil="true"/>
    <lcf76f155ced4ddcb4097134ff3c332f xmlns="e61dad27-3045-41a7-ba40-395e3667dbe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871134EA8F2CE46B0DBC0CB02AFEF2F" ma:contentTypeVersion="17" ma:contentTypeDescription="Crear nuevo documento." ma:contentTypeScope="" ma:versionID="f9f64109bb217c5adcbc2fccd0cafb8c">
  <xsd:schema xmlns:xsd="http://www.w3.org/2001/XMLSchema" xmlns:xs="http://www.w3.org/2001/XMLSchema" xmlns:p="http://schemas.microsoft.com/office/2006/metadata/properties" xmlns:ns2="e61dad27-3045-41a7-ba40-395e3667dbed" xmlns:ns3="dda8aa8b-969a-43f6-8bf3-e74344447eca" xmlns:ns4="c3258bdc-acbf-4395-8df8-2c372ae92e62" targetNamespace="http://schemas.microsoft.com/office/2006/metadata/properties" ma:root="true" ma:fieldsID="d181583448617bcdaffb8905e9a6e073" ns2:_="" ns3:_="" ns4:_="">
    <xsd:import namespace="e61dad27-3045-41a7-ba40-395e3667dbed"/>
    <xsd:import namespace="dda8aa8b-969a-43f6-8bf3-e74344447eca"/>
    <xsd:import namespace="c3258bdc-acbf-4395-8df8-2c372ae92e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lcf76f155ced4ddcb4097134ff3c332f" minOccurs="0"/>
                <xsd:element ref="ns4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dad27-3045-41a7-ba40-395e3667db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3a3d5153-9851-4872-a7cd-2cf6e07cec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a8aa8b-969a-43f6-8bf3-e74344447ec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258bdc-acbf-4395-8df8-2c372ae92e62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d763886-9073-4563-bbb7-d4808e518bfb}" ma:internalName="TaxCatchAll" ma:showField="CatchAllData" ma:web="dda8aa8b-969a-43f6-8bf3-e74344447e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EFB456-B253-4F0D-B2ED-2532BCEAEC60}">
  <ds:schemaRefs>
    <ds:schemaRef ds:uri="http://schemas.microsoft.com/office/2006/metadata/properties"/>
    <ds:schemaRef ds:uri="http://schemas.microsoft.com/office/infopath/2007/PartnerControls"/>
    <ds:schemaRef ds:uri="c3258bdc-acbf-4395-8df8-2c372ae92e62"/>
    <ds:schemaRef ds:uri="e61dad27-3045-41a7-ba40-395e3667dbed"/>
  </ds:schemaRefs>
</ds:datastoreItem>
</file>

<file path=customXml/itemProps2.xml><?xml version="1.0" encoding="utf-8"?>
<ds:datastoreItem xmlns:ds="http://schemas.openxmlformats.org/officeDocument/2006/customXml" ds:itemID="{D77DA0B6-CF57-4BB7-B239-D193E37964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095CAD-E6CA-49D6-832C-322698BFEA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dad27-3045-41a7-ba40-395e3667dbed"/>
    <ds:schemaRef ds:uri="dda8aa8b-969a-43f6-8bf3-e74344447eca"/>
    <ds:schemaRef ds:uri="c3258bdc-acbf-4395-8df8-2c372ae92e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RADICACIONES</vt:lpstr>
    </vt:vector>
  </TitlesOfParts>
  <Company>Seguros Alfa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Maritza D antonio Sarmiento</dc:creator>
  <cp:lastModifiedBy>Iliana Zoraida Larrañaga Hernandez</cp:lastModifiedBy>
  <dcterms:created xsi:type="dcterms:W3CDTF">2020-01-23T16:09:37Z</dcterms:created>
  <dcterms:modified xsi:type="dcterms:W3CDTF">2026-07-21T16:30:17Z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8" name="ContentTypeId">
    <vt:lpwstr>0x0101005871134EA8F2CE46B0DBC0CB02AFEF2F</vt:lpwstr>
  </property>
</Properties>
</file>